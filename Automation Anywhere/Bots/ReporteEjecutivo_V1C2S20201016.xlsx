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382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FD77619-A760-4EA9-A23B-DB4AE6529471}" xr6:coauthVersionLast="45" xr6:coauthVersionMax="45" xr10:uidLastSave="{00000000-0000-0000-0000-000000000000}"/>
  <bookViews>
    <workbookView xWindow="2160" yWindow="2145" windowWidth="15360" windowHeight="7485" xr2:uid="{00000000-000D-0000-FFFF-FFFF00000000}"/>
  </bookViews>
  <sheets>
    <sheet name="_" sheetId="1" r:id="rId1"/>
    <sheet name="SALARIO MINIMO" sheetId="2" r:id="rId2"/>
    <sheet name="UMA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45" i="1" l="1"/>
  <c r="BC45" i="1"/>
  <c r="BB45" i="1"/>
  <c r="BA45" i="1"/>
  <c r="AZ45" i="1"/>
  <c r="AY45" i="1"/>
  <c r="AW45" i="1"/>
  <c r="AU45" i="1"/>
  <c r="AT45" i="1"/>
  <c r="AS45" i="1"/>
  <c r="AO45" i="1"/>
  <c r="AN45" i="1"/>
  <c r="AM45" i="1"/>
  <c r="AJ45" i="1"/>
  <c r="AI45" i="1"/>
  <c r="AH45" i="1"/>
  <c r="AG45" i="1"/>
  <c r="AF45" i="1"/>
  <c r="AE45" i="1"/>
  <c r="AC45" i="1"/>
  <c r="Z45" i="1"/>
  <c r="BD44" i="1"/>
  <c r="BC44" i="1"/>
  <c r="BB44" i="1"/>
  <c r="BA44" i="1"/>
  <c r="AZ44" i="1"/>
  <c r="AY44" i="1"/>
  <c r="AW44" i="1"/>
  <c r="AU44" i="1"/>
  <c r="AT44" i="1"/>
  <c r="AS44" i="1"/>
  <c r="AO44" i="1"/>
  <c r="AN44" i="1"/>
  <c r="AM44" i="1"/>
  <c r="AJ44" i="1"/>
  <c r="AI44" i="1"/>
  <c r="AH44" i="1"/>
  <c r="AG44" i="1"/>
  <c r="AF44" i="1"/>
  <c r="AE44" i="1"/>
  <c r="AC44" i="1"/>
  <c r="Z44" i="1"/>
  <c r="BD43" i="1"/>
  <c r="BC43" i="1"/>
  <c r="BB43" i="1"/>
  <c r="BA43" i="1"/>
  <c r="AZ43" i="1"/>
  <c r="AY43" i="1"/>
  <c r="AW43" i="1"/>
  <c r="AU43" i="1"/>
  <c r="AT43" i="1"/>
  <c r="AS43" i="1"/>
  <c r="AO43" i="1"/>
  <c r="AN43" i="1"/>
  <c r="AM43" i="1"/>
  <c r="AJ43" i="1"/>
  <c r="AI43" i="1"/>
  <c r="AH43" i="1"/>
  <c r="AG43" i="1"/>
  <c r="AF43" i="1"/>
  <c r="AE43" i="1"/>
  <c r="AC43" i="1"/>
  <c r="Z43" i="1"/>
  <c r="BD42" i="1"/>
  <c r="BC42" i="1"/>
  <c r="BB42" i="1"/>
  <c r="BA42" i="1"/>
  <c r="AZ42" i="1"/>
  <c r="AY42" i="1"/>
  <c r="AW42" i="1"/>
  <c r="AU42" i="1"/>
  <c r="AT42" i="1"/>
  <c r="AS42" i="1"/>
  <c r="AO42" i="1"/>
  <c r="AN42" i="1"/>
  <c r="AM42" i="1"/>
  <c r="AJ42" i="1"/>
  <c r="AI42" i="1"/>
  <c r="AH42" i="1"/>
  <c r="AG42" i="1"/>
  <c r="AF42" i="1"/>
  <c r="AE42" i="1"/>
  <c r="AC42" i="1"/>
  <c r="Z42" i="1"/>
  <c r="BD41" i="1"/>
  <c r="BC41" i="1"/>
  <c r="BB41" i="1"/>
  <c r="BA41" i="1"/>
  <c r="AZ41" i="1"/>
  <c r="AY41" i="1"/>
  <c r="AW41" i="1"/>
  <c r="AU41" i="1"/>
  <c r="AT41" i="1"/>
  <c r="AS41" i="1"/>
  <c r="AO41" i="1"/>
  <c r="AN41" i="1"/>
  <c r="AM41" i="1"/>
  <c r="AJ41" i="1"/>
  <c r="AI41" i="1"/>
  <c r="AH41" i="1"/>
  <c r="AG41" i="1"/>
  <c r="AF41" i="1"/>
  <c r="AE41" i="1"/>
  <c r="AC41" i="1"/>
  <c r="Z41" i="1"/>
  <c r="BD40" i="1"/>
  <c r="BC40" i="1"/>
  <c r="BB40" i="1"/>
  <c r="BA40" i="1"/>
  <c r="AZ40" i="1"/>
  <c r="AY40" i="1"/>
  <c r="AW40" i="1"/>
  <c r="AU40" i="1"/>
  <c r="AT40" i="1"/>
  <c r="AS40" i="1"/>
  <c r="AO40" i="1"/>
  <c r="AN40" i="1"/>
  <c r="AM40" i="1"/>
  <c r="AJ40" i="1"/>
  <c r="AI40" i="1"/>
  <c r="AH40" i="1"/>
  <c r="AG40" i="1"/>
  <c r="AF40" i="1"/>
  <c r="AE40" i="1"/>
  <c r="AC40" i="1"/>
  <c r="Z40" i="1"/>
  <c r="BD39" i="1"/>
  <c r="BC39" i="1"/>
  <c r="BB39" i="1"/>
  <c r="BA39" i="1"/>
  <c r="AZ39" i="1"/>
  <c r="AY39" i="1"/>
  <c r="AW39" i="1"/>
  <c r="AU39" i="1"/>
  <c r="AT39" i="1"/>
  <c r="AS39" i="1"/>
  <c r="AO39" i="1"/>
  <c r="AN39" i="1"/>
  <c r="AM39" i="1"/>
  <c r="AJ39" i="1"/>
  <c r="AI39" i="1"/>
  <c r="AH39" i="1"/>
  <c r="AG39" i="1"/>
  <c r="AF39" i="1"/>
  <c r="AE39" i="1"/>
  <c r="AC39" i="1"/>
  <c r="Z39" i="1"/>
  <c r="BD38" i="1"/>
  <c r="BC38" i="1"/>
  <c r="BB38" i="1"/>
  <c r="BA38" i="1"/>
  <c r="AZ38" i="1"/>
  <c r="AY38" i="1"/>
  <c r="AW38" i="1"/>
  <c r="AU38" i="1"/>
  <c r="AT38" i="1"/>
  <c r="AS38" i="1"/>
  <c r="AO38" i="1"/>
  <c r="AN38" i="1"/>
  <c r="AM38" i="1"/>
  <c r="AJ38" i="1"/>
  <c r="AI38" i="1"/>
  <c r="AH38" i="1"/>
  <c r="AG38" i="1"/>
  <c r="AF38" i="1"/>
  <c r="AE38" i="1"/>
  <c r="AC38" i="1"/>
  <c r="Z38" i="1"/>
  <c r="BD37" i="1"/>
  <c r="BC37" i="1"/>
  <c r="BB37" i="1"/>
  <c r="BA37" i="1"/>
  <c r="AZ37" i="1"/>
  <c r="AY37" i="1"/>
  <c r="AW37" i="1"/>
  <c r="AU37" i="1"/>
  <c r="AT37" i="1"/>
  <c r="AS37" i="1"/>
  <c r="AO37" i="1"/>
  <c r="AN37" i="1"/>
  <c r="AM37" i="1"/>
  <c r="AJ37" i="1"/>
  <c r="AI37" i="1"/>
  <c r="AH37" i="1"/>
  <c r="AG37" i="1"/>
  <c r="AF37" i="1"/>
  <c r="AE37" i="1"/>
  <c r="AC37" i="1"/>
  <c r="Z37" i="1"/>
  <c r="BD36" i="1"/>
  <c r="BC36" i="1"/>
  <c r="BB36" i="1"/>
  <c r="BA36" i="1"/>
  <c r="AZ36" i="1"/>
  <c r="AY36" i="1"/>
  <c r="AW36" i="1"/>
  <c r="AU36" i="1"/>
  <c r="AT36" i="1"/>
  <c r="AS36" i="1"/>
  <c r="AO36" i="1"/>
  <c r="AN36" i="1"/>
  <c r="AM36" i="1"/>
  <c r="AJ36" i="1"/>
  <c r="AI36" i="1"/>
  <c r="AH36" i="1"/>
  <c r="AG36" i="1"/>
  <c r="AF36" i="1"/>
  <c r="AE36" i="1"/>
  <c r="AC36" i="1"/>
  <c r="Z36" i="1"/>
  <c r="BD35" i="1"/>
  <c r="BC35" i="1"/>
  <c r="BB35" i="1"/>
  <c r="BA35" i="1"/>
  <c r="AZ35" i="1"/>
  <c r="AY35" i="1"/>
  <c r="AW35" i="1"/>
  <c r="AU35" i="1"/>
  <c r="AT35" i="1"/>
  <c r="AS35" i="1"/>
  <c r="AO35" i="1"/>
  <c r="AN35" i="1"/>
  <c r="AM35" i="1"/>
  <c r="AJ35" i="1"/>
  <c r="AI35" i="1"/>
  <c r="AH35" i="1"/>
  <c r="AG35" i="1"/>
  <c r="AF35" i="1"/>
  <c r="AE35" i="1"/>
  <c r="AC35" i="1"/>
  <c r="Z35" i="1"/>
  <c r="BD34" i="1"/>
  <c r="BC34" i="1"/>
  <c r="BB34" i="1"/>
  <c r="BA34" i="1"/>
  <c r="AZ34" i="1"/>
  <c r="AY34" i="1"/>
  <c r="AW34" i="1"/>
  <c r="AU34" i="1"/>
  <c r="AT34" i="1"/>
  <c r="AS34" i="1"/>
  <c r="AO34" i="1"/>
  <c r="AN34" i="1"/>
  <c r="AM34" i="1"/>
  <c r="AJ34" i="1"/>
  <c r="AI34" i="1"/>
  <c r="AH34" i="1"/>
  <c r="AG34" i="1"/>
  <c r="AF34" i="1"/>
  <c r="AE34" i="1"/>
  <c r="AC34" i="1"/>
  <c r="Z34" i="1"/>
  <c r="BD33" i="1"/>
  <c r="BC33" i="1"/>
  <c r="BB33" i="1"/>
  <c r="BA33" i="1"/>
  <c r="AZ33" i="1"/>
  <c r="AY33" i="1"/>
  <c r="AW33" i="1"/>
  <c r="AU33" i="1"/>
  <c r="AT33" i="1"/>
  <c r="AS33" i="1"/>
  <c r="AO33" i="1"/>
  <c r="AN33" i="1"/>
  <c r="AM33" i="1"/>
  <c r="AJ33" i="1"/>
  <c r="AI33" i="1"/>
  <c r="AH33" i="1"/>
  <c r="AG33" i="1"/>
  <c r="AF33" i="1"/>
  <c r="AE33" i="1"/>
  <c r="AC33" i="1"/>
  <c r="Z33" i="1"/>
  <c r="BD32" i="1"/>
  <c r="BC32" i="1"/>
  <c r="BB32" i="1"/>
  <c r="BA32" i="1"/>
  <c r="AZ32" i="1"/>
  <c r="AY32" i="1"/>
  <c r="AW32" i="1"/>
  <c r="AU32" i="1"/>
  <c r="AT32" i="1"/>
  <c r="AS32" i="1"/>
  <c r="AO32" i="1"/>
  <c r="AN32" i="1"/>
  <c r="AM32" i="1"/>
  <c r="AJ32" i="1"/>
  <c r="AI32" i="1"/>
  <c r="AH32" i="1"/>
  <c r="AG32" i="1"/>
  <c r="AF32" i="1"/>
  <c r="AE32" i="1"/>
  <c r="AC32" i="1"/>
  <c r="Z32" i="1"/>
  <c r="BD31" i="1"/>
  <c r="BC31" i="1"/>
  <c r="BB31" i="1"/>
  <c r="BA31" i="1"/>
  <c r="AZ31" i="1"/>
  <c r="AY31" i="1"/>
  <c r="AW31" i="1"/>
  <c r="AU31" i="1"/>
  <c r="AT31" i="1"/>
  <c r="AS31" i="1"/>
  <c r="AO31" i="1"/>
  <c r="AN31" i="1"/>
  <c r="AM31" i="1"/>
  <c r="AJ31" i="1"/>
  <c r="AI31" i="1"/>
  <c r="AH31" i="1"/>
  <c r="AG31" i="1"/>
  <c r="AF31" i="1"/>
  <c r="AE31" i="1"/>
  <c r="AC31" i="1"/>
  <c r="Z31" i="1"/>
  <c r="BD30" i="1"/>
  <c r="BC30" i="1"/>
  <c r="BB30" i="1"/>
  <c r="BA30" i="1"/>
  <c r="AZ30" i="1"/>
  <c r="AY30" i="1"/>
  <c r="AW30" i="1"/>
  <c r="AU30" i="1"/>
  <c r="AT30" i="1"/>
  <c r="AS30" i="1"/>
  <c r="AO30" i="1"/>
  <c r="AN30" i="1"/>
  <c r="AM30" i="1"/>
  <c r="AJ30" i="1"/>
  <c r="AI30" i="1"/>
  <c r="AH30" i="1"/>
  <c r="AG30" i="1"/>
  <c r="AF30" i="1"/>
  <c r="AE30" i="1"/>
  <c r="AC30" i="1"/>
  <c r="Z30" i="1"/>
  <c r="BD29" i="1"/>
  <c r="BC29" i="1"/>
  <c r="BB29" i="1"/>
  <c r="BA29" i="1"/>
  <c r="AZ29" i="1"/>
  <c r="AY29" i="1"/>
  <c r="AW29" i="1"/>
  <c r="AU29" i="1"/>
  <c r="AT29" i="1"/>
  <c r="AS29" i="1"/>
  <c r="AO29" i="1"/>
  <c r="AN29" i="1"/>
  <c r="AM29" i="1"/>
  <c r="AJ29" i="1"/>
  <c r="AI29" i="1"/>
  <c r="AH29" i="1"/>
  <c r="AG29" i="1"/>
  <c r="AF29" i="1"/>
  <c r="AE29" i="1"/>
  <c r="AC29" i="1"/>
  <c r="Z29" i="1"/>
  <c r="BD28" i="1"/>
  <c r="BC28" i="1"/>
  <c r="BB28" i="1"/>
  <c r="BA28" i="1"/>
  <c r="AZ28" i="1"/>
  <c r="AY28" i="1"/>
  <c r="AW28" i="1"/>
  <c r="AU28" i="1"/>
  <c r="AT28" i="1"/>
  <c r="AS28" i="1"/>
  <c r="AO28" i="1"/>
  <c r="AN28" i="1"/>
  <c r="AM28" i="1"/>
  <c r="AJ28" i="1"/>
  <c r="AI28" i="1"/>
  <c r="AH28" i="1"/>
  <c r="AG28" i="1"/>
  <c r="AF28" i="1"/>
  <c r="AE28" i="1"/>
  <c r="AC28" i="1"/>
  <c r="Z28" i="1"/>
  <c r="BD27" i="1"/>
  <c r="BC27" i="1"/>
  <c r="BB27" i="1"/>
  <c r="BA27" i="1"/>
  <c r="AZ27" i="1"/>
  <c r="AY27" i="1"/>
  <c r="AW27" i="1"/>
  <c r="AU27" i="1"/>
  <c r="AT27" i="1"/>
  <c r="AS27" i="1"/>
  <c r="AO27" i="1"/>
  <c r="AN27" i="1"/>
  <c r="AM27" i="1"/>
  <c r="AJ27" i="1"/>
  <c r="AI27" i="1"/>
  <c r="AH27" i="1"/>
  <c r="AG27" i="1"/>
  <c r="AF27" i="1"/>
  <c r="AE27" i="1"/>
  <c r="AC27" i="1"/>
  <c r="Z27" i="1"/>
  <c r="BD26" i="1"/>
  <c r="BC26" i="1"/>
  <c r="BB26" i="1"/>
  <c r="BA26" i="1"/>
  <c r="AZ26" i="1"/>
  <c r="AY26" i="1"/>
  <c r="AW26" i="1"/>
  <c r="AU26" i="1"/>
  <c r="AT26" i="1"/>
  <c r="AS26" i="1"/>
  <c r="AO26" i="1"/>
  <c r="AN26" i="1"/>
  <c r="AM26" i="1"/>
  <c r="AJ26" i="1"/>
  <c r="AI26" i="1"/>
  <c r="AH26" i="1"/>
  <c r="AG26" i="1"/>
  <c r="AF26" i="1"/>
  <c r="AE26" i="1"/>
  <c r="AC26" i="1"/>
  <c r="Z26" i="1"/>
  <c r="BD25" i="1"/>
  <c r="BC25" i="1"/>
  <c r="BB25" i="1"/>
  <c r="BA25" i="1"/>
  <c r="AZ25" i="1"/>
  <c r="AY25" i="1"/>
  <c r="AW25" i="1"/>
  <c r="AU25" i="1"/>
  <c r="AT25" i="1"/>
  <c r="AS25" i="1"/>
  <c r="AO25" i="1"/>
  <c r="AN25" i="1"/>
  <c r="AM25" i="1"/>
  <c r="AJ25" i="1"/>
  <c r="AI25" i="1"/>
  <c r="AH25" i="1"/>
  <c r="AG25" i="1"/>
  <c r="AF25" i="1"/>
  <c r="AE25" i="1"/>
  <c r="AC25" i="1"/>
  <c r="Z25" i="1"/>
  <c r="BD24" i="1"/>
  <c r="BC24" i="1"/>
  <c r="BB24" i="1"/>
  <c r="BA24" i="1"/>
  <c r="AZ24" i="1"/>
  <c r="AY24" i="1"/>
  <c r="AW24" i="1"/>
  <c r="AU24" i="1"/>
  <c r="AT24" i="1"/>
  <c r="AS24" i="1"/>
  <c r="AO24" i="1"/>
  <c r="AN24" i="1"/>
  <c r="AM24" i="1"/>
  <c r="AJ24" i="1"/>
  <c r="AI24" i="1"/>
  <c r="AH24" i="1"/>
  <c r="AG24" i="1"/>
  <c r="AF24" i="1"/>
  <c r="AE24" i="1"/>
  <c r="AC24" i="1"/>
  <c r="Z24" i="1"/>
  <c r="BD23" i="1"/>
  <c r="BC23" i="1"/>
  <c r="BB23" i="1"/>
  <c r="BA23" i="1"/>
  <c r="AZ23" i="1"/>
  <c r="AY23" i="1"/>
  <c r="AW23" i="1"/>
  <c r="AU23" i="1"/>
  <c r="AT23" i="1"/>
  <c r="AS23" i="1"/>
  <c r="AO23" i="1"/>
  <c r="AN23" i="1"/>
  <c r="AM23" i="1"/>
  <c r="AJ23" i="1"/>
  <c r="AI23" i="1"/>
  <c r="AH23" i="1"/>
  <c r="AG23" i="1"/>
  <c r="AF23" i="1"/>
  <c r="AE23" i="1"/>
  <c r="AC23" i="1"/>
  <c r="Z23" i="1"/>
  <c r="BD22" i="1"/>
  <c r="BC22" i="1"/>
  <c r="BB22" i="1"/>
  <c r="BA22" i="1"/>
  <c r="AZ22" i="1"/>
  <c r="AY22" i="1"/>
  <c r="AW22" i="1"/>
  <c r="AU22" i="1"/>
  <c r="AT22" i="1"/>
  <c r="AS22" i="1"/>
  <c r="AO22" i="1"/>
  <c r="AN22" i="1"/>
  <c r="AM22" i="1"/>
  <c r="AJ22" i="1"/>
  <c r="AI22" i="1"/>
  <c r="AH22" i="1"/>
  <c r="AG22" i="1"/>
  <c r="AF22" i="1"/>
  <c r="AE22" i="1"/>
  <c r="AC22" i="1"/>
  <c r="Z22" i="1"/>
  <c r="BD21" i="1"/>
  <c r="BC21" i="1"/>
  <c r="BB21" i="1"/>
  <c r="BA21" i="1"/>
  <c r="AZ21" i="1"/>
  <c r="AY21" i="1"/>
  <c r="AW21" i="1"/>
  <c r="AU21" i="1"/>
  <c r="AT21" i="1"/>
  <c r="AS21" i="1"/>
  <c r="AO21" i="1"/>
  <c r="AN21" i="1"/>
  <c r="AM21" i="1"/>
  <c r="AJ21" i="1"/>
  <c r="AI21" i="1"/>
  <c r="AH21" i="1"/>
  <c r="AG21" i="1"/>
  <c r="AF21" i="1"/>
  <c r="AE21" i="1"/>
  <c r="AC21" i="1"/>
  <c r="Z21" i="1"/>
  <c r="BD20" i="1"/>
  <c r="BC20" i="1"/>
  <c r="BB20" i="1"/>
  <c r="BA20" i="1"/>
  <c r="AZ20" i="1"/>
  <c r="AY20" i="1"/>
  <c r="AW20" i="1"/>
  <c r="AU20" i="1"/>
  <c r="AT20" i="1"/>
  <c r="AS20" i="1"/>
  <c r="AO20" i="1"/>
  <c r="AN20" i="1"/>
  <c r="AM20" i="1"/>
  <c r="AJ20" i="1"/>
  <c r="AI20" i="1"/>
  <c r="AH20" i="1"/>
  <c r="AG20" i="1"/>
  <c r="AF20" i="1"/>
  <c r="AE20" i="1"/>
  <c r="AC20" i="1"/>
  <c r="Z20" i="1"/>
  <c r="BD19" i="1"/>
  <c r="BC19" i="1"/>
  <c r="BB19" i="1"/>
  <c r="BA19" i="1"/>
  <c r="AZ19" i="1"/>
  <c r="AY19" i="1"/>
  <c r="AW19" i="1"/>
  <c r="AU19" i="1"/>
  <c r="AT19" i="1"/>
  <c r="AS19" i="1"/>
  <c r="AO19" i="1"/>
  <c r="AN19" i="1"/>
  <c r="AM19" i="1"/>
  <c r="AJ19" i="1"/>
  <c r="AI19" i="1"/>
  <c r="AH19" i="1"/>
  <c r="AG19" i="1"/>
  <c r="AF19" i="1"/>
  <c r="AE19" i="1"/>
  <c r="AC19" i="1"/>
  <c r="Z19" i="1"/>
  <c r="BD18" i="1"/>
  <c r="BC18" i="1"/>
  <c r="BB18" i="1"/>
  <c r="BA18" i="1"/>
  <c r="AZ18" i="1"/>
  <c r="AY18" i="1"/>
  <c r="AW18" i="1"/>
  <c r="AU18" i="1"/>
  <c r="AT18" i="1"/>
  <c r="AS18" i="1"/>
  <c r="AO18" i="1"/>
  <c r="AN18" i="1"/>
  <c r="AM18" i="1"/>
  <c r="AJ18" i="1"/>
  <c r="AI18" i="1"/>
  <c r="AH18" i="1"/>
  <c r="AG18" i="1"/>
  <c r="AF18" i="1"/>
  <c r="AE18" i="1"/>
  <c r="AC18" i="1"/>
  <c r="Z18" i="1"/>
  <c r="BD17" i="1"/>
  <c r="BC17" i="1"/>
  <c r="BB17" i="1"/>
  <c r="BA17" i="1"/>
  <c r="AZ17" i="1"/>
  <c r="AY17" i="1"/>
  <c r="AW17" i="1"/>
  <c r="AU17" i="1"/>
  <c r="AT17" i="1"/>
  <c r="AS17" i="1"/>
  <c r="AO17" i="1"/>
  <c r="AN17" i="1"/>
  <c r="AM17" i="1"/>
  <c r="AJ17" i="1"/>
  <c r="AI17" i="1"/>
  <c r="AH17" i="1"/>
  <c r="AG17" i="1"/>
  <c r="AF17" i="1"/>
  <c r="AE17" i="1"/>
  <c r="AC17" i="1"/>
  <c r="Z17" i="1"/>
  <c r="BD16" i="1"/>
  <c r="BC16" i="1"/>
  <c r="BB16" i="1"/>
  <c r="BA16" i="1"/>
  <c r="AZ16" i="1"/>
  <c r="AY16" i="1"/>
  <c r="AW16" i="1"/>
  <c r="AU16" i="1"/>
  <c r="AT16" i="1"/>
  <c r="AS16" i="1"/>
  <c r="AO16" i="1"/>
  <c r="AN16" i="1"/>
  <c r="AM16" i="1"/>
  <c r="AJ16" i="1"/>
  <c r="AI16" i="1"/>
  <c r="AH16" i="1"/>
  <c r="AG16" i="1"/>
  <c r="AF16" i="1"/>
  <c r="AE16" i="1"/>
  <c r="AC16" i="1"/>
  <c r="Z16" i="1"/>
  <c r="BD15" i="1"/>
  <c r="BC15" i="1"/>
  <c r="BB15" i="1"/>
  <c r="BA15" i="1"/>
  <c r="AZ15" i="1"/>
  <c r="AY15" i="1"/>
  <c r="AW15" i="1"/>
  <c r="AU15" i="1"/>
  <c r="AT15" i="1"/>
  <c r="AS15" i="1"/>
  <c r="AO15" i="1"/>
  <c r="AN15" i="1"/>
  <c r="AM15" i="1"/>
  <c r="AJ15" i="1"/>
  <c r="AI15" i="1"/>
  <c r="AH15" i="1"/>
  <c r="AG15" i="1"/>
  <c r="AF15" i="1"/>
  <c r="AE15" i="1"/>
  <c r="AC15" i="1"/>
  <c r="Z15" i="1"/>
  <c r="BD14" i="1"/>
  <c r="BC14" i="1"/>
  <c r="BB14" i="1"/>
  <c r="BA14" i="1"/>
  <c r="AZ14" i="1"/>
  <c r="AY14" i="1"/>
  <c r="AW14" i="1"/>
  <c r="AU14" i="1"/>
  <c r="AT14" i="1"/>
  <c r="AS14" i="1"/>
  <c r="AO14" i="1"/>
  <c r="AN14" i="1"/>
  <c r="AM14" i="1"/>
  <c r="AJ14" i="1"/>
  <c r="AI14" i="1"/>
  <c r="AH14" i="1"/>
  <c r="AG14" i="1"/>
  <c r="AF14" i="1"/>
  <c r="AE14" i="1"/>
  <c r="AC14" i="1"/>
  <c r="Z14" i="1"/>
  <c r="BD13" i="1"/>
  <c r="BC13" i="1"/>
  <c r="BB13" i="1"/>
  <c r="BA13" i="1"/>
  <c r="AZ13" i="1"/>
  <c r="AY13" i="1"/>
  <c r="AW13" i="1"/>
  <c r="AU13" i="1"/>
  <c r="AT13" i="1"/>
  <c r="AS13" i="1"/>
  <c r="AO13" i="1"/>
  <c r="AN13" i="1"/>
  <c r="AM13" i="1"/>
  <c r="AJ13" i="1"/>
  <c r="AI13" i="1"/>
  <c r="AH13" i="1"/>
  <c r="AG13" i="1"/>
  <c r="AF13" i="1"/>
  <c r="AE13" i="1"/>
  <c r="AC13" i="1"/>
  <c r="Z13" i="1"/>
  <c r="BD12" i="1"/>
  <c r="BC12" i="1"/>
  <c r="BB12" i="1"/>
  <c r="BA12" i="1"/>
  <c r="AZ12" i="1"/>
  <c r="AY12" i="1"/>
  <c r="AW12" i="1"/>
  <c r="AU12" i="1"/>
  <c r="AT12" i="1"/>
  <c r="AS12" i="1"/>
  <c r="AO12" i="1"/>
  <c r="AN12" i="1"/>
  <c r="AM12" i="1"/>
  <c r="AJ12" i="1"/>
  <c r="AI12" i="1"/>
  <c r="AH12" i="1"/>
  <c r="AG12" i="1"/>
  <c r="AF12" i="1"/>
  <c r="AE12" i="1"/>
  <c r="AC12" i="1"/>
  <c r="Z12" i="1"/>
  <c r="BD11" i="1"/>
  <c r="BC11" i="1"/>
  <c r="BB11" i="1"/>
  <c r="BA11" i="1"/>
  <c r="AZ11" i="1"/>
  <c r="AY11" i="1"/>
  <c r="AW11" i="1"/>
  <c r="AU11" i="1"/>
  <c r="AT11" i="1"/>
  <c r="AS11" i="1"/>
  <c r="AO11" i="1"/>
  <c r="AN11" i="1"/>
  <c r="AM11" i="1"/>
  <c r="AJ11" i="1"/>
  <c r="AI11" i="1"/>
  <c r="AH11" i="1"/>
  <c r="AG11" i="1"/>
  <c r="AF11" i="1"/>
  <c r="AE11" i="1"/>
  <c r="AC11" i="1"/>
  <c r="Z11" i="1"/>
  <c r="BD10" i="1"/>
  <c r="BC10" i="1"/>
  <c r="BB10" i="1"/>
  <c r="BA10" i="1"/>
  <c r="AZ10" i="1"/>
  <c r="AY10" i="1"/>
  <c r="AW10" i="1"/>
  <c r="AU10" i="1"/>
  <c r="AT10" i="1"/>
  <c r="AS10" i="1"/>
  <c r="AO10" i="1"/>
  <c r="AN10" i="1"/>
  <c r="AM10" i="1"/>
  <c r="AJ10" i="1"/>
  <c r="AI10" i="1"/>
  <c r="AH10" i="1"/>
  <c r="AG10" i="1"/>
  <c r="AF10" i="1"/>
  <c r="AE10" i="1"/>
  <c r="AC10" i="1"/>
  <c r="Z10" i="1"/>
  <c r="BD9" i="1"/>
  <c r="BC9" i="1"/>
  <c r="BB9" i="1"/>
  <c r="BA9" i="1"/>
  <c r="AZ9" i="1"/>
  <c r="AY9" i="1"/>
  <c r="AW9" i="1"/>
  <c r="AU9" i="1"/>
  <c r="AT9" i="1"/>
  <c r="AS9" i="1"/>
  <c r="AO9" i="1"/>
  <c r="AN9" i="1"/>
  <c r="AM9" i="1"/>
  <c r="AJ9" i="1"/>
  <c r="AI9" i="1"/>
  <c r="AH9" i="1"/>
  <c r="AG9" i="1"/>
  <c r="AF9" i="1"/>
  <c r="AE9" i="1"/>
  <c r="AC9" i="1"/>
  <c r="Z9" i="1"/>
  <c r="BD8" i="1"/>
  <c r="BC8" i="1"/>
  <c r="BB8" i="1"/>
  <c r="BA8" i="1"/>
  <c r="AZ8" i="1"/>
  <c r="AY8" i="1"/>
  <c r="AW8" i="1"/>
  <c r="AU8" i="1"/>
  <c r="AT8" i="1"/>
  <c r="AS8" i="1"/>
  <c r="AO8" i="1"/>
  <c r="AN8" i="1"/>
  <c r="AM8" i="1"/>
  <c r="AJ8" i="1"/>
  <c r="AI8" i="1"/>
  <c r="AH8" i="1"/>
  <c r="AG8" i="1"/>
  <c r="AF8" i="1"/>
  <c r="AE8" i="1"/>
  <c r="AC8" i="1"/>
  <c r="Z8" i="1"/>
  <c r="BD7" i="1"/>
  <c r="BC7" i="1"/>
  <c r="BB7" i="1"/>
  <c r="BA7" i="1"/>
  <c r="AZ7" i="1"/>
  <c r="AY7" i="1"/>
  <c r="AW7" i="1"/>
  <c r="AU7" i="1"/>
  <c r="AT7" i="1"/>
  <c r="AS7" i="1"/>
  <c r="AO7" i="1"/>
  <c r="AN7" i="1"/>
  <c r="AM7" i="1"/>
  <c r="AJ7" i="1"/>
  <c r="AI7" i="1"/>
  <c r="AH7" i="1"/>
  <c r="AG7" i="1"/>
  <c r="AF7" i="1"/>
  <c r="AE7" i="1"/>
  <c r="AC7" i="1"/>
  <c r="Z7" i="1"/>
  <c r="BD6" i="1"/>
  <c r="BC6" i="1"/>
  <c r="BB6" i="1"/>
  <c r="BA6" i="1"/>
  <c r="AZ6" i="1"/>
  <c r="AY6" i="1"/>
  <c r="AW6" i="1"/>
  <c r="AU6" i="1"/>
  <c r="AT6" i="1"/>
  <c r="AS6" i="1"/>
  <c r="AO6" i="1"/>
  <c r="AN6" i="1"/>
  <c r="AM6" i="1"/>
  <c r="AJ6" i="1"/>
  <c r="AI6" i="1"/>
  <c r="AH6" i="1"/>
  <c r="AG6" i="1"/>
  <c r="AF6" i="1"/>
  <c r="AE6" i="1"/>
  <c r="AC6" i="1"/>
  <c r="Z6" i="1"/>
  <c r="BD5" i="1"/>
  <c r="BC5" i="1"/>
  <c r="BB5" i="1"/>
  <c r="BA5" i="1"/>
  <c r="AZ5" i="1"/>
  <c r="AY5" i="1"/>
  <c r="AW5" i="1"/>
  <c r="AU5" i="1"/>
  <c r="AT5" i="1"/>
  <c r="AS5" i="1"/>
  <c r="AO5" i="1"/>
  <c r="AN5" i="1"/>
  <c r="AM5" i="1"/>
  <c r="AJ5" i="1"/>
  <c r="AI5" i="1"/>
  <c r="AH5" i="1"/>
  <c r="AG5" i="1"/>
  <c r="AF5" i="1"/>
  <c r="AE5" i="1"/>
  <c r="AC5" i="1"/>
  <c r="Z5" i="1"/>
  <c r="BD4" i="1"/>
  <c r="BC4" i="1"/>
  <c r="BB4" i="1"/>
  <c r="BA4" i="1"/>
  <c r="AZ4" i="1"/>
  <c r="AY4" i="1"/>
  <c r="AW4" i="1"/>
  <c r="AU4" i="1"/>
  <c r="AT4" i="1"/>
  <c r="AS4" i="1"/>
  <c r="AO4" i="1"/>
  <c r="AN4" i="1"/>
  <c r="AM4" i="1"/>
  <c r="AJ4" i="1"/>
  <c r="AI4" i="1"/>
  <c r="AH4" i="1"/>
  <c r="AG4" i="1"/>
  <c r="AF4" i="1"/>
  <c r="AE4" i="1"/>
  <c r="AC4" i="1"/>
  <c r="Z4" i="1"/>
  <c r="BD3" i="1"/>
  <c r="BC3" i="1"/>
  <c r="BB3" i="1"/>
  <c r="BA3" i="1"/>
  <c r="AZ3" i="1"/>
  <c r="AY3" i="1"/>
  <c r="AW3" i="1"/>
  <c r="AU3" i="1"/>
  <c r="AT3" i="1"/>
  <c r="AS3" i="1"/>
  <c r="AO3" i="1"/>
  <c r="AN3" i="1"/>
  <c r="AM3" i="1"/>
  <c r="AJ3" i="1"/>
  <c r="AI3" i="1"/>
  <c r="AH3" i="1"/>
  <c r="AG3" i="1"/>
  <c r="AF3" i="1"/>
  <c r="AE3" i="1"/>
  <c r="AC3" i="1"/>
  <c r="Z3" i="1"/>
  <c r="BD2" i="1"/>
  <c r="BC2" i="1"/>
  <c r="BB2" i="1"/>
  <c r="BA2" i="1"/>
  <c r="AZ2" i="1"/>
  <c r="AY2" i="1"/>
  <c r="AW2" i="1"/>
  <c r="AU2" i="1"/>
  <c r="AT2" i="1"/>
  <c r="AS2" i="1"/>
  <c r="AO2" i="1"/>
  <c r="AN2" i="1"/>
  <c r="AM2" i="1"/>
  <c r="AJ2" i="1"/>
  <c r="AI2" i="1"/>
  <c r="AH2" i="1"/>
  <c r="AG2" i="1"/>
  <c r="AF2" i="1"/>
  <c r="AE2" i="1"/>
  <c r="AC2" i="1"/>
  <c r="Z2" i="1"/>
</calcChain>
</file>

<file path=xl/sharedStrings.xml><?xml version="1.0" encoding="utf-8"?>
<sst xmlns="http://schemas.openxmlformats.org/spreadsheetml/2006/main" count="860" uniqueCount="324">
  <si>
    <t>Folio Trámite</t>
  </si>
  <si>
    <t>Cuenta Individual</t>
  </si>
  <si>
    <t>Tipo de Trámite</t>
  </si>
  <si>
    <t>Estatus de trámites</t>
  </si>
  <si>
    <t>Fecha Estatus</t>
  </si>
  <si>
    <t>Monto Total</t>
  </si>
  <si>
    <t>Monto Total de Acciones</t>
  </si>
  <si>
    <t>NSS</t>
  </si>
  <si>
    <t>CURP</t>
  </si>
  <si>
    <t>Proceso</t>
  </si>
  <si>
    <t>Tipo de Solicitante</t>
  </si>
  <si>
    <t>CURP Solicitante</t>
  </si>
  <si>
    <t>Sucursal</t>
  </si>
  <si>
    <t>Fecha de Captura</t>
  </si>
  <si>
    <t>Clasificación del Rechazo</t>
  </si>
  <si>
    <t>Motivos de Rechazo</t>
  </si>
  <si>
    <t>Fecha Envio a Beneficios</t>
  </si>
  <si>
    <t>Fecha Liquidado</t>
  </si>
  <si>
    <t>Contador de Reactivación</t>
  </si>
  <si>
    <t>Cliente Notificado</t>
  </si>
  <si>
    <t>Sello de Verificación</t>
  </si>
  <si>
    <t>Identificación Trámite</t>
  </si>
  <si>
    <t>RETIRO POR DESEMPLEO IMSS</t>
  </si>
  <si>
    <t>CON IMAGENES COMPLETAS</t>
  </si>
  <si>
    <t>10149363516</t>
  </si>
  <si>
    <t>RAPJ930124HCHMRS02</t>
  </si>
  <si>
    <t>RETIRO PARCIAL IMSS</t>
  </si>
  <si>
    <t>Titular/Trabajador</t>
  </si>
  <si>
    <t>CD. JUAREZ</t>
  </si>
  <si>
    <t xml:space="preserve"> </t>
  </si>
  <si>
    <t>72854047234662</t>
  </si>
  <si>
    <t>202010161356104077</t>
  </si>
  <si>
    <t>RETIRO DE AYUDA PARA GASTOS DE MATRIMONIO IMSS</t>
  </si>
  <si>
    <t>ACEPTADO MC</t>
  </si>
  <si>
    <t>16099147890</t>
  </si>
  <si>
    <t>OEBJ910507HMCRTV06</t>
  </si>
  <si>
    <t>TOLUCA</t>
  </si>
  <si>
    <t>39839285121581</t>
  </si>
  <si>
    <t>202010160923090008</t>
  </si>
  <si>
    <t>41119028144</t>
  </si>
  <si>
    <t>RUED900721MSPZSN08</t>
  </si>
  <si>
    <t>SAN LUIS POTOSI</t>
  </si>
  <si>
    <t>43044782931369</t>
  </si>
  <si>
    <t>202010161204490030</t>
  </si>
  <si>
    <t>56169634286</t>
  </si>
  <si>
    <t>GOLS960723MGTDPR07</t>
  </si>
  <si>
    <t>LEON</t>
  </si>
  <si>
    <t>11473888228604</t>
  </si>
  <si>
    <t>202010161207320031</t>
  </si>
  <si>
    <t>47018541434</t>
  </si>
  <si>
    <t>GOTJ850701HNLNLS00</t>
  </si>
  <si>
    <t>MONTERREY</t>
  </si>
  <si>
    <t>50405095699647</t>
  </si>
  <si>
    <t>202010161103200023</t>
  </si>
  <si>
    <t>12088914515</t>
  </si>
  <si>
    <t>SEEJ890609HGTGSS04</t>
  </si>
  <si>
    <t>IRAPUATO</t>
  </si>
  <si>
    <t>21336612483457</t>
  </si>
  <si>
    <t>202010161111090298</t>
  </si>
  <si>
    <t>65897277813</t>
  </si>
  <si>
    <t>ROVA730817HVZLSL01</t>
  </si>
  <si>
    <t>VERACRUZ</t>
  </si>
  <si>
    <t>74776832023853</t>
  </si>
  <si>
    <t>202010161125390582</t>
  </si>
  <si>
    <t>24907424667</t>
  </si>
  <si>
    <t>ROCR741221HSRBNF07</t>
  </si>
  <si>
    <t>HERMOSILLO</t>
  </si>
  <si>
    <t>95332930605332</t>
  </si>
  <si>
    <t>202010161220420033</t>
  </si>
  <si>
    <t>56927464364</t>
  </si>
  <si>
    <t>GAGF751115HJCLZR06</t>
  </si>
  <si>
    <t>GUADALAJARA</t>
  </si>
  <si>
    <t>85654536756332</t>
  </si>
  <si>
    <t>202010161300090260</t>
  </si>
  <si>
    <t>20047400179</t>
  </si>
  <si>
    <t>AIAP740402MSRBNT08</t>
  </si>
  <si>
    <t>TIJUANA</t>
  </si>
  <si>
    <t>69583883594481</t>
  </si>
  <si>
    <t>202010161412524139</t>
  </si>
  <si>
    <t>39967827229</t>
  </si>
  <si>
    <t>VILN780712MDFLPN05</t>
  </si>
  <si>
    <t>40580681201763</t>
  </si>
  <si>
    <t>202010160956550376</t>
  </si>
  <si>
    <t>92109236445</t>
  </si>
  <si>
    <t>BEHK920812MDFRRR01</t>
  </si>
  <si>
    <t>37553098727553</t>
  </si>
  <si>
    <t>202010160812170001</t>
  </si>
  <si>
    <t>04119008219</t>
  </si>
  <si>
    <t>HERA901009HJCRDL03</t>
  </si>
  <si>
    <t>34738452496399</t>
  </si>
  <si>
    <t>202010160822410110</t>
  </si>
  <si>
    <t>09947207321</t>
  </si>
  <si>
    <t>VAHV720130HCLLRC08</t>
  </si>
  <si>
    <t>MONCLOVA</t>
  </si>
  <si>
    <t>59877401249119</t>
  </si>
  <si>
    <t>202010161317410039</t>
  </si>
  <si>
    <t>30119210265</t>
  </si>
  <si>
    <t>HESL921127HDFRNS03</t>
  </si>
  <si>
    <t>MIXCOAC</t>
  </si>
  <si>
    <t>75645953557216</t>
  </si>
  <si>
    <t>202010161341190042</t>
  </si>
  <si>
    <t>65078821405</t>
  </si>
  <si>
    <t>MUGF880124HVZXNR01</t>
  </si>
  <si>
    <t>82616750212668</t>
  </si>
  <si>
    <t>202010160823540123</t>
  </si>
  <si>
    <t>44149260976</t>
  </si>
  <si>
    <t>RILA921211HCMVLL00</t>
  </si>
  <si>
    <t>COLIMA</t>
  </si>
  <si>
    <t>69415415710680</t>
  </si>
  <si>
    <t>202010161241580037</t>
  </si>
  <si>
    <t>92988207210</t>
  </si>
  <si>
    <t>CODG820523HDFBLL02</t>
  </si>
  <si>
    <t>CUAUTITLAN</t>
  </si>
  <si>
    <t>78727821206379</t>
  </si>
  <si>
    <t>202010161342044005</t>
  </si>
  <si>
    <t>04079105658</t>
  </si>
  <si>
    <t>ZESJ911028HJCPNN00</t>
  </si>
  <si>
    <t>Zapopan</t>
  </si>
  <si>
    <t>23165175425358</t>
  </si>
  <si>
    <t>202010161413094143</t>
  </si>
  <si>
    <t>92906956344</t>
  </si>
  <si>
    <t>SACB690204HDFLSR00</t>
  </si>
  <si>
    <t>LINDAVISTA</t>
  </si>
  <si>
    <t>44015762864299</t>
  </si>
  <si>
    <t>202010161236131234</t>
  </si>
  <si>
    <t>04138946472</t>
  </si>
  <si>
    <t>NEGD890209HJCRZN01</t>
  </si>
  <si>
    <t>74308578270800</t>
  </si>
  <si>
    <t>202010160854310006</t>
  </si>
  <si>
    <t>12129609306</t>
  </si>
  <si>
    <t>MUSB960209MGTXNL08</t>
  </si>
  <si>
    <t>32157868322189</t>
  </si>
  <si>
    <t>202010161136240027</t>
  </si>
  <si>
    <t>04078684521</t>
  </si>
  <si>
    <t>SIJC861104MJCLML02</t>
  </si>
  <si>
    <t>44499174066135</t>
  </si>
  <si>
    <t>202010161210152178</t>
  </si>
  <si>
    <t>82028328134</t>
  </si>
  <si>
    <t>OIAL830818HTCLLS04</t>
  </si>
  <si>
    <t>VILLAHERMOSA</t>
  </si>
  <si>
    <t>22992194074849</t>
  </si>
  <si>
    <t>202010160806000027</t>
  </si>
  <si>
    <t>24048677074</t>
  </si>
  <si>
    <t>TARJ860129HSRPMS03</t>
  </si>
  <si>
    <t>32706193336114</t>
  </si>
  <si>
    <t>202010161509264320</t>
  </si>
  <si>
    <t>03149370920</t>
  </si>
  <si>
    <t>TIGS931027MVZNNF05</t>
  </si>
  <si>
    <t>56000368283463</t>
  </si>
  <si>
    <t>202010161155124606</t>
  </si>
  <si>
    <t>45987952889</t>
  </si>
  <si>
    <t>PATB790616MJCLRL01</t>
  </si>
  <si>
    <t>58082407983001</t>
  </si>
  <si>
    <t>202010161211092335</t>
  </si>
  <si>
    <t>90947606043</t>
  </si>
  <si>
    <t>PAPR760505HDFDRM00</t>
  </si>
  <si>
    <t>67721490441893</t>
  </si>
  <si>
    <t>202010160838440002</t>
  </si>
  <si>
    <t>02158183737</t>
  </si>
  <si>
    <t>PEOC811212HQTXVS07</t>
  </si>
  <si>
    <t>QUERETARO</t>
  </si>
  <si>
    <t>28984498507853</t>
  </si>
  <si>
    <t>202010160906550218</t>
  </si>
  <si>
    <t>51887314105</t>
  </si>
  <si>
    <t>PAIS730607MASRBL06</t>
  </si>
  <si>
    <t>AGUASCALIENTES</t>
  </si>
  <si>
    <t>78279131669790</t>
  </si>
  <si>
    <t>202010160810270048</t>
  </si>
  <si>
    <t>23947797074</t>
  </si>
  <si>
    <t>OUMA770716HSLSRN00</t>
  </si>
  <si>
    <t>MAZATLAN</t>
  </si>
  <si>
    <t>87028647929349</t>
  </si>
  <si>
    <t>202010161134060922</t>
  </si>
  <si>
    <t>04029000470</t>
  </si>
  <si>
    <t>CACU900810MJCJLR09</t>
  </si>
  <si>
    <t>52053609148803</t>
  </si>
  <si>
    <t>202010161253474321</t>
  </si>
  <si>
    <t>96007915836</t>
  </si>
  <si>
    <t>BAPF790424HPLZRD01</t>
  </si>
  <si>
    <t>CONDESA</t>
  </si>
  <si>
    <t>47563745030381</t>
  </si>
  <si>
    <t>202010161312442344</t>
  </si>
  <si>
    <t>18159666371</t>
  </si>
  <si>
    <t>REAA960719MCHNRR03</t>
  </si>
  <si>
    <t>47418471848155</t>
  </si>
  <si>
    <t>202010161025050512</t>
  </si>
  <si>
    <t>90068408955</t>
  </si>
  <si>
    <t>GOLR840429HDFNPY01</t>
  </si>
  <si>
    <t>63213769887684</t>
  </si>
  <si>
    <t>202010160943230333</t>
  </si>
  <si>
    <t>57008232696</t>
  </si>
  <si>
    <t>ROME821222MSRCND01</t>
  </si>
  <si>
    <t>41743697857766</t>
  </si>
  <si>
    <t>202010161259330178</t>
  </si>
  <si>
    <t>04038487213</t>
  </si>
  <si>
    <t>BEED841025HJCJSN03</t>
  </si>
  <si>
    <t>97717586452404</t>
  </si>
  <si>
    <t>202010161017090477</t>
  </si>
  <si>
    <t>33907411525</t>
  </si>
  <si>
    <t>SORE740918MCHTVR00</t>
  </si>
  <si>
    <t>36335811262423</t>
  </si>
  <si>
    <t>202010161025100513</t>
  </si>
  <si>
    <t>84786107411</t>
  </si>
  <si>
    <t>VEEG610115HYNLSL06</t>
  </si>
  <si>
    <t>MERIDA</t>
  </si>
  <si>
    <t>79243686248629</t>
  </si>
  <si>
    <t>202010160947420357</t>
  </si>
  <si>
    <t>12109174222</t>
  </si>
  <si>
    <t>PACA910724MGTDRN04</t>
  </si>
  <si>
    <t>39528997425901</t>
  </si>
  <si>
    <t>202010161017290478</t>
  </si>
  <si>
    <t>83937119515</t>
  </si>
  <si>
    <t>ZEIC710428HTCTZR03</t>
  </si>
  <si>
    <t>43949785378205</t>
  </si>
  <si>
    <t>202010161149213620</t>
  </si>
  <si>
    <t>43089258255</t>
  </si>
  <si>
    <t>SAAB920910MNLLLL07</t>
  </si>
  <si>
    <t>46586303905549</t>
  </si>
  <si>
    <t>202010161234480035</t>
  </si>
  <si>
    <t>01138501000</t>
  </si>
  <si>
    <t>MEGJ850725HDFRRR03</t>
  </si>
  <si>
    <t>22708905275660</t>
  </si>
  <si>
    <t>202010160830230141</t>
  </si>
  <si>
    <t>14099436900</t>
  </si>
  <si>
    <t>SORH940114HDFTZC08</t>
  </si>
  <si>
    <t>96828512938971</t>
  </si>
  <si>
    <t>202010161002430013</t>
  </si>
  <si>
    <t>Folio Trámite_2</t>
  </si>
  <si>
    <t>Folio_Nuevo_Cognos</t>
  </si>
  <si>
    <t>BO_IC_IMPORTE</t>
  </si>
  <si>
    <t>BO_IC_IMPORTE_VS_MONTO_TOTAL</t>
  </si>
  <si>
    <t>BO_IC_MENSUALIDAD</t>
  </si>
  <si>
    <t>BO_IC_P1_SUMA_SUBSECUENTE</t>
  </si>
  <si>
    <t>BO_IC_P1_IMPORTE_TOTAL</t>
  </si>
  <si>
    <t>FECHA_MAT</t>
  </si>
  <si>
    <t>SALARIO MINIMO</t>
  </si>
  <si>
    <t>UMA</t>
  </si>
  <si>
    <t>VALIDACION_30*SM</t>
  </si>
  <si>
    <t>VALIDACION_30*UMA</t>
  </si>
  <si>
    <t>RESULTADO_VAL1</t>
  </si>
  <si>
    <t>FECHA_SOLICITUD</t>
  </si>
  <si>
    <t>SALARIO A</t>
  </si>
  <si>
    <t>SALARIO B</t>
  </si>
  <si>
    <t>VALIDACION_30*SALA</t>
  </si>
  <si>
    <t>VALIDACION_90*SALB</t>
  </si>
  <si>
    <t>RESULTADO_VAL2</t>
  </si>
  <si>
    <t>SCS_RCV_ACCIONES</t>
  </si>
  <si>
    <t>SCS_CODIGO_SIEFORE</t>
  </si>
  <si>
    <t>SCS_VALOR_ACCION</t>
  </si>
  <si>
    <t>SCS_RCV_PESOS</t>
  </si>
  <si>
    <t>11.5%_RCV</t>
  </si>
  <si>
    <t>RESULTADO_VAL3</t>
  </si>
  <si>
    <t>BO_IMPORTE_PRIMER_IC_PS</t>
  </si>
  <si>
    <t>RESULTADO_VAL_SUBSECUENTE</t>
  </si>
  <si>
    <t>SUMA_PAGOS_EN_PROCESO</t>
  </si>
  <si>
    <t>RESULTADO_VAL_SUMA</t>
  </si>
  <si>
    <t>VALIDACION_PAGO_1</t>
  </si>
  <si>
    <t>RESULTADO_VAL_PAGO_1</t>
  </si>
  <si>
    <t>IMPORTE_A_LIQUIDAR</t>
  </si>
  <si>
    <t>ESTATUS</t>
  </si>
  <si>
    <t>COMENTARIO</t>
  </si>
  <si>
    <t>ESTADO_TRANSACCION</t>
  </si>
  <si>
    <t>BOT_ESTADO</t>
  </si>
  <si>
    <t>0550906892</t>
  </si>
  <si>
    <t>0620030349</t>
  </si>
  <si>
    <t>0430087623</t>
  </si>
  <si>
    <t>0720047737</t>
  </si>
  <si>
    <t>0650002717</t>
  </si>
  <si>
    <t>0060000488</t>
  </si>
  <si>
    <t>20201016 14:03:35</t>
  </si>
  <si>
    <t>20201016 09:31:51</t>
  </si>
  <si>
    <t>20201016 12:08:15</t>
  </si>
  <si>
    <t>20201016 12:11:43</t>
  </si>
  <si>
    <t>20201016 11:08:20</t>
  </si>
  <si>
    <t>20201016 11:16:10</t>
  </si>
  <si>
    <t>20201016 11:32:58</t>
  </si>
  <si>
    <t>20201016 12:27:20</t>
  </si>
  <si>
    <t>20201016 13:08:35</t>
  </si>
  <si>
    <t>20201016 14:27:43</t>
  </si>
  <si>
    <t>20201016 10:04:20</t>
  </si>
  <si>
    <t>20201016 08:16:58</t>
  </si>
  <si>
    <t>20201016 08:29:46</t>
  </si>
  <si>
    <t>20201016 13:24:39</t>
  </si>
  <si>
    <t>20201016 13:44:50</t>
  </si>
  <si>
    <t>20201016 08:28:58</t>
  </si>
  <si>
    <t>20201016 12:47:56</t>
  </si>
  <si>
    <t>20201016 13:50:01</t>
  </si>
  <si>
    <t>20201016 14:17:47</t>
  </si>
  <si>
    <t>20201016 12:41:00</t>
  </si>
  <si>
    <t>20201016 09:00:50</t>
  </si>
  <si>
    <t>20201016 11:41:23</t>
  </si>
  <si>
    <t>20201016 12:16:54</t>
  </si>
  <si>
    <t>20201016 08:10:25</t>
  </si>
  <si>
    <t>20201016 15:18:09</t>
  </si>
  <si>
    <t>20201016 12:00:33</t>
  </si>
  <si>
    <t>20201016 12:17:31</t>
  </si>
  <si>
    <t>20201016 08:47:36</t>
  </si>
  <si>
    <t>20201016 09:11:07</t>
  </si>
  <si>
    <t>20201016 08:15:25</t>
  </si>
  <si>
    <t>20201016 11:41:45</t>
  </si>
  <si>
    <t>20201016 12:58:38</t>
  </si>
  <si>
    <t>20201016 13:21:16</t>
  </si>
  <si>
    <t>20201016 10:30:18</t>
  </si>
  <si>
    <t>20201016 09:51:18</t>
  </si>
  <si>
    <t>20201016 13:05:28</t>
  </si>
  <si>
    <t>20201016 10:22:51</t>
  </si>
  <si>
    <t>20201016 09:53:46</t>
  </si>
  <si>
    <t>20201016 10:26:06</t>
  </si>
  <si>
    <t>20201016 11:54:15</t>
  </si>
  <si>
    <t>20201016 12:40:40</t>
  </si>
  <si>
    <t>20201016 08:36:21</t>
  </si>
  <si>
    <t>20201016 10:07:06</t>
  </si>
  <si>
    <t>Actual</t>
  </si>
  <si>
    <t>Pago único</t>
  </si>
  <si>
    <t>Procesado</t>
  </si>
  <si>
    <t>PROF-90</t>
  </si>
  <si>
    <t>PROF-BI</t>
  </si>
  <si>
    <t>PROF-85</t>
  </si>
  <si>
    <t>PROF-70</t>
  </si>
  <si>
    <t>PROF-75</t>
  </si>
  <si>
    <t>PROF-80</t>
  </si>
  <si>
    <t>PROF-65</t>
  </si>
  <si>
    <t>PROF-60</t>
  </si>
  <si>
    <t>Año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</si>
</sst>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/mm/yyyy\ hh:mm:ss"/>
    <numFmt numFmtId="166" formatCode="_-&quot;$&quot;* #,##0.00_-;\-&quot;$&quot;* #,##0.00_-;_-&quot;$&quot;* &quot;-&quot;??_-;_-@_-"/>
  </numFmts>
  <fonts count="2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0" fillId="0" borderId="0" xfId="0" quotePrefix="1" applyNumberFormat="1"/>
    <xf numFmtId="14" fontId="0" fillId="0" borderId="0" xfId="0" applyNumberFormat="1"/>
    <xf numFmtId="0" fontId="1" fillId="0" borderId="1" xfId="1" applyBorder="1" applyAlignment="1">
      <alignment horizontal="center"/>
    </xf>
    <xf numFmtId="0" fontId="1" fillId="0" borderId="0" xfId="1"/>
    <xf numFmtId="166" fontId="1" fillId="0" borderId="1" xfId="1" applyNumberFormat="1" applyBorder="1" applyAlignment="1">
      <alignment horizontal="center"/>
    </xf>
  </cellXfs>
  <cellStyles count="2">
    <cellStyle name="Normal" xfId="0" builtinId="0"/>
    <cellStyle name="Normal 2" xfId="1" xr:uid="{1B3D3814-CDB1-42D3-BB45-16B3019DAD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5"/>
  <sheetViews>
    <sheetView tabSelected="1" topLeftCell="AJ29" workbookViewId="0">
      <selection activeCell="AR46" sqref="AR46"/>
    </sheetView>
  </sheetViews>
  <sheetFormatPr defaultRowHeight="12.75" x14ac:dyDescent="0.2"/>
  <cols>
    <col min="1" max="1" width="11.85546875" bestFit="1" customWidth="1"/>
    <col min="2" max="2" width="15.140625" bestFit="1" customWidth="1"/>
    <col min="3" max="3" width="49.28515625" bestFit="1" customWidth="1"/>
    <col min="4" max="4" width="24.85546875" bestFit="1" customWidth="1"/>
    <col min="5" max="5" width="18.7109375" bestFit="1" customWidth="1"/>
    <col min="6" max="6" width="10.7109375" bestFit="1" customWidth="1"/>
    <col min="7" max="7" width="21.42578125" bestFit="1" customWidth="1"/>
    <col min="8" max="8" width="12" bestFit="1" customWidth="1"/>
    <col min="9" max="9" width="21.42578125" bestFit="1" customWidth="1"/>
    <col min="10" max="10" width="20" bestFit="1" customWidth="1"/>
    <col min="11" max="11" width="16.28515625" bestFit="1" customWidth="1"/>
    <col min="12" max="12" width="21.42578125" bestFit="1" customWidth="1"/>
    <col min="13" max="13" width="16" bestFit="1" customWidth="1"/>
    <col min="14" max="14" width="17.28515625" bestFit="1" customWidth="1"/>
    <col min="15" max="15" width="21.85546875" bestFit="1" customWidth="1"/>
    <col min="16" max="16" width="17.42578125" bestFit="1" customWidth="1"/>
    <col min="17" max="17" width="21.42578125" bestFit="1" customWidth="1"/>
    <col min="18" max="18" width="14.28515625" bestFit="1" customWidth="1"/>
    <col min="19" max="19" width="22.140625" bestFit="1" customWidth="1"/>
    <col min="20" max="20" width="15.28515625" bestFit="1" customWidth="1"/>
    <col min="21" max="21" width="17.85546875" bestFit="1" customWidth="1"/>
    <col min="22" max="22" width="19" bestFit="1" customWidth="1"/>
    <col min="23" max="23" width="19.28515625" bestFit="1" customWidth="1"/>
    <col min="24" max="24" width="18.140625" bestFit="1" customWidth="1"/>
    <col min="25" max="25" width="14.7109375" bestFit="1" customWidth="1"/>
    <col min="26" max="26" width="32.42578125" bestFit="1" customWidth="1"/>
    <col min="27" max="27" width="19.140625" bestFit="1" customWidth="1"/>
    <col min="28" max="28" width="28.42578125" bestFit="1" customWidth="1"/>
    <col min="29" max="29" width="24.5703125" bestFit="1" customWidth="1"/>
    <col min="30" max="30" width="11.140625" bestFit="1" customWidth="1"/>
    <col min="31" max="31" width="15.42578125" bestFit="1" customWidth="1"/>
    <col min="32" max="32" width="4.7109375" bestFit="1" customWidth="1"/>
    <col min="33" max="33" width="18.140625" bestFit="1" customWidth="1"/>
    <col min="34" max="34" width="19.28515625" bestFit="1" customWidth="1"/>
    <col min="35" max="35" width="16.28515625" bestFit="1" customWidth="1"/>
    <col min="36" max="36" width="16.5703125" bestFit="1" customWidth="1"/>
    <col min="37" max="37" width="10" bestFit="1" customWidth="1"/>
    <col min="38" max="38" width="9.85546875" bestFit="1" customWidth="1"/>
    <col min="39" max="39" width="19.85546875" bestFit="1" customWidth="1"/>
    <col min="40" max="40" width="19.7109375" bestFit="1" customWidth="1"/>
    <col min="41" max="41" width="16.28515625" bestFit="1" customWidth="1"/>
    <col min="42" max="42" width="18.7109375" bestFit="1" customWidth="1"/>
    <col min="43" max="43" width="20.42578125" bestFit="1" customWidth="1"/>
    <col min="44" max="44" width="18.7109375" bestFit="1" customWidth="1"/>
    <col min="45" max="45" width="15.5703125" bestFit="1" customWidth="1"/>
    <col min="46" max="46" width="10.7109375" bestFit="1" customWidth="1"/>
    <col min="47" max="47" width="16.28515625" bestFit="1" customWidth="1"/>
    <col min="48" max="48" width="25.5703125" bestFit="1" customWidth="1"/>
    <col min="49" max="49" width="28.7109375" bestFit="1" customWidth="1"/>
    <col min="50" max="50" width="25.140625" bestFit="1" customWidth="1"/>
    <col min="51" max="51" width="21.42578125" bestFit="1" customWidth="1"/>
    <col min="52" max="52" width="19" bestFit="1" customWidth="1"/>
    <col min="53" max="53" width="23.140625" bestFit="1" customWidth="1"/>
    <col min="54" max="54" width="19.85546875" bestFit="1" customWidth="1"/>
    <col min="55" max="55" width="8.85546875" bestFit="1" customWidth="1"/>
    <col min="56" max="56" width="12.28515625" bestFit="1" customWidth="1"/>
    <col min="57" max="57" width="21.42578125" bestFit="1" customWidth="1"/>
    <col min="58" max="58" width="12.28515625" bestFit="1" customWidth="1"/>
  </cols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</row>
    <row r="2" spans="1:58" x14ac:dyDescent="0.2">
      <c r="A2" s="1">
        <v>8000251483</v>
      </c>
      <c r="B2" s="1">
        <v>3300375746</v>
      </c>
      <c r="C2" t="s">
        <v>22</v>
      </c>
      <c r="D2" t="s">
        <v>23</v>
      </c>
      <c r="E2" s="2">
        <v>44120.591377309996</v>
      </c>
      <c r="F2">
        <v>5926.2</v>
      </c>
      <c r="G2" s="3">
        <v>0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28</v>
      </c>
      <c r="N2" s="2" t="s">
        <v>269</v>
      </c>
      <c r="O2" t="s">
        <v>29</v>
      </c>
      <c r="P2" t="s">
        <v>29</v>
      </c>
      <c r="T2" s="1">
        <v>1</v>
      </c>
      <c r="U2" t="s">
        <v>30</v>
      </c>
      <c r="V2" t="s">
        <v>29</v>
      </c>
      <c r="W2" t="s">
        <v>31</v>
      </c>
      <c r="Y2">
        <v>5926.2</v>
      </c>
      <c r="Z2" t="str">
        <f t="shared" ref="Z2:Z45" si="0">IF(Y2=F2,"OK","Error 1")</f>
        <v>OK</v>
      </c>
      <c r="AA2" t="s">
        <v>313</v>
      </c>
      <c r="AC2" t="str">
        <f t="shared" ref="AC2:AC45" si="1">IF(AA2="Pago 1",AB2+Y2,"0")</f>
        <v>0</v>
      </c>
      <c r="AD2" s="5">
        <v>44117</v>
      </c>
      <c r="AE2">
        <f>IF(V2="SUBSECUENTE","No aplica",VLOOKUP(YEAR(AD2),'SALARIO MINIMO'!A1:B100,2,FALSE))</f>
        <v>123.22</v>
      </c>
      <c r="AF2">
        <f>IF(V2="SUBSECUENTE","No aplica",IF(YEAR(AD2)=2016,VLOOKUP(YEAR(AD2),UMA!A1:B100,2,FALSE),IF(MONTH(AD2)=1,VLOOKUP((YEAR(AD2))-1,UMA!A1:B100,2,FALSE),VLOOKUP(YEAR(AD2),UMA!A1:B100,2,FALSE))))</f>
        <v>86.88</v>
      </c>
      <c r="AG2">
        <f t="shared" ref="AG2:AG45" si="2">IF(V2="SUBSECUENTE","No aplica",IFERROR(IF(SEARCH("desempleo",C2),AE2*30*10),AE2*30))</f>
        <v>36966</v>
      </c>
      <c r="AH2">
        <f t="shared" ref="AH2:AH45" si="3">IF(V2="SUBSECUENTE","No aplica",IFERROR(IF(SEARCH("desempleo",C2),AF2*30*10),AF2*30))</f>
        <v>26063.999999999996</v>
      </c>
      <c r="AI2" t="str">
        <f t="shared" ref="AI2:AI45" si="4">IF(V2="SUBSECUENTE","No aplica",IF(AA2="Pago único",IF(AG2=Y2,"OK_SM",IF(AH2=Y2,"OK_UMA","Error Validacion 1")),IF(AG2=AC2,"OK_SM",IF(AH2=AC2,"OK_UMA","Error Validacion 1"))))</f>
        <v>Error Validacion 1</v>
      </c>
      <c r="AJ2" s="2" t="str">
        <f t="shared" ref="AJ2:AJ45" si="5">N2</f>
        <v>20201016 14:03:35</v>
      </c>
      <c r="AK2">
        <v>197.54</v>
      </c>
      <c r="AL2">
        <v>120.89</v>
      </c>
      <c r="AM2">
        <f t="shared" ref="AM2:AM45" si="6">IF(C2="RETIRO POR MATRIMONIO IMSS", 0,AK2*30)</f>
        <v>5926.2</v>
      </c>
      <c r="AN2">
        <f t="shared" ref="AN2:AN45" si="7">IF(C2="RETIRO POR MATRIMONIO IMSS", 0,AL2*90)</f>
        <v>10880.1</v>
      </c>
      <c r="AO2" t="str">
        <f t="shared" ref="AO2:AO45" si="8">IF(V2="SUBSECUENTE","No aplica",IF(AA2="Pago único",IF(AM2=Y2,"OK_SALA",IF(AN2=Y2,"OK_SALB","Revisar_11.5%")),IF(AM2=AC2,"OK_SALA",IF(AN2=AC2,"OK_SALB","Revisar_11.5%"))))</f>
        <v>OK_SALA</v>
      </c>
      <c r="AP2">
        <v>2097.9582909999999</v>
      </c>
      <c r="AQ2" t="s">
        <v>315</v>
      </c>
      <c r="AR2">
        <v>13.148607</v>
      </c>
      <c r="AS2">
        <f t="shared" ref="AS2:AS45" si="9">AP2*AR2</f>
        <v>27585.229070750636</v>
      </c>
      <c r="AT2" t="str">
        <f t="shared" ref="AT2:AT45" si="10">IF(V2="SUBSECUENTE","No aplica",IF(AO2="OK_SALA","SAL_A",IF(AO2="OK_SALB","SAL_B",IF(AO2="Revisar_11.5%",AS2*0.115,"Error Validación 2"))))</f>
        <v>SAL_A</v>
      </c>
      <c r="AU2" t="str">
        <f t="shared" ref="AU2:AU45" si="11">IF(V2="SUBSECUENTE","No aplica",IF(AA2="Pago único",IF(AT2&lt;&gt;"SAL_A",IF(ABS(AT2-Y2)&lt;0.02,"OK_11.5%",IF(ABS(AS2-Y2)&lt;0.02,"OK_RCV","Error Validación 4")),"SAL_A"),IF(AT2&lt;&gt;"SAL_A",IF(ABS(AT2-AC2)&lt;0.02,"OK_11.5%",IF(ABS(AS2-AC2)&lt;0.02,"OK_RCV","Error Validación 4")),"SAL_A")))</f>
        <v>SAL_A</v>
      </c>
      <c r="AW2" t="str">
        <f t="shared" ref="AW2:AW45" si="12">IF(V2="SUBSECUENTE",IF(AV2=Y2,"OK_IC","Revisar Pendientes"),"")</f>
        <v/>
      </c>
      <c r="AY2" t="str">
        <f t="shared" ref="AY2:AY45" si="13">IF(V2="SUBSECUENTES","No aplica",IF(AX2=Y2,"OK_SUMA","Diferencia pagos en curso"))</f>
        <v>Diferencia pagos en curso</v>
      </c>
      <c r="AZ2" t="str">
        <f t="shared" ref="AZ2:AZ45" si="14">IF(AA2="Pago 1",IF(AI2="OK_SM",AG2,IF(AI2="OK_UMA",AH2,IF(AO2="OK_SALA",AM2,IF(AO2="OK_SALB",AN2,IF(AU2="OK_11.5%",AT2,IF(AU2="OK_RCV",AS2,"Error en validación")))))),"No aplica")</f>
        <v>No aplica</v>
      </c>
      <c r="BA2" t="str">
        <f t="shared" ref="BA2:BA45" si="15">IF(ISNUMBER(AZ2),"OK_cálculo pago 1",AZ2)</f>
        <v>No aplica</v>
      </c>
      <c r="BB2">
        <f t="shared" ref="BB2:BB45" si="16">IF(AW2="OK_IC",AV2,IF(AY2="OK_SUMA",AX2,IF(AI2="OK_SM",AG2,IF(AI2="OK_UMA",AH2,IF(AO2="OK_SALA",AM2,IF(AO2="OK_SALB",AN2,IF(AU2="OK_11.5%",AT2,IF(AU2="OK_RCV",AS2,"Error en validación"))))))))</f>
        <v>5926.2</v>
      </c>
      <c r="BC2" t="str">
        <f t="shared" ref="BC2:BC45" si="17">IF(Z2="Error 1","No cuadran el Instructivo de Cobro y el monto de Cognos",IF(AND(AW2="Revisar Pendientes",AY2&lt;&gt;"OK_SUMA"),"Diferencia entre instructivo de cobro actual y de primer pago",IF(AI2&lt;&gt;"Error Validacion 1","Validación correcta",IF(OR(AO2="OK_SALA",AO2="OK_SALB"),"Validación correcta", IF(AU2="Error Validación 4", IF(AA2="Pago único","No cuadra el cálculo realizado contra Instructivo y Cognos","No cuadra cálculo realizado contra Instructivo"), "Validación correcta")))))</f>
        <v>Validación correcta</v>
      </c>
      <c r="BD2" t="str">
        <f t="shared" ref="BD2:BD45" si="18">IF(BC2="Validación correcta","Ningún comentario",IF(BC2="No cuadran el Instructivo de Cobro y el monto de Cognos","Inconsistencia en los datos de origen","Inconsistencia entre datos de origen y cálculo"))</f>
        <v>Ningún comentario</v>
      </c>
      <c r="BE2" t="s">
        <v>312</v>
      </c>
      <c r="BF2" t="s">
        <v>314</v>
      </c>
    </row>
    <row r="3" spans="1:58" x14ac:dyDescent="0.2">
      <c r="A3" s="1">
        <v>8000250790</v>
      </c>
      <c r="B3" s="1">
        <v>3200494338</v>
      </c>
      <c r="C3" t="s">
        <v>32</v>
      </c>
      <c r="D3" t="s">
        <v>33</v>
      </c>
      <c r="E3" s="2">
        <v>44120.400381940002</v>
      </c>
      <c r="F3">
        <v>2606.4</v>
      </c>
      <c r="G3" s="3">
        <v>0</v>
      </c>
      <c r="H3" t="s">
        <v>34</v>
      </c>
      <c r="I3" t="s">
        <v>35</v>
      </c>
      <c r="J3" t="s">
        <v>26</v>
      </c>
      <c r="K3" t="s">
        <v>27</v>
      </c>
      <c r="L3" t="s">
        <v>35</v>
      </c>
      <c r="M3" t="s">
        <v>36</v>
      </c>
      <c r="N3" s="2" t="s">
        <v>270</v>
      </c>
      <c r="O3" t="s">
        <v>29</v>
      </c>
      <c r="P3" t="s">
        <v>29</v>
      </c>
      <c r="T3" s="1">
        <v>1</v>
      </c>
      <c r="U3" t="s">
        <v>37</v>
      </c>
      <c r="V3" t="s">
        <v>29</v>
      </c>
      <c r="W3" t="s">
        <v>38</v>
      </c>
      <c r="Y3">
        <v>2606.4</v>
      </c>
      <c r="Z3" t="str">
        <f t="shared" si="0"/>
        <v>OK</v>
      </c>
      <c r="AA3" t="s">
        <v>313</v>
      </c>
      <c r="AC3" t="str">
        <f t="shared" si="1"/>
        <v>0</v>
      </c>
      <c r="AD3" s="5">
        <v>44092</v>
      </c>
      <c r="AE3">
        <f>IF(V3="SUBSECUENTE","No aplica",VLOOKUP(YEAR(AD3),'SALARIO MINIMO'!A1:B100,2,FALSE))</f>
        <v>123.22</v>
      </c>
      <c r="AF3">
        <f>IF(V3="SUBSECUENTE","No aplica",IF(YEAR(AD3)=2016,VLOOKUP(YEAR(AD3),UMA!A1:B100,2,FALSE),IF(MONTH(AD3)=1,VLOOKUP((YEAR(AD3))-1,UMA!A1:B100,2,FALSE),VLOOKUP(YEAR(AD3),UMA!A1:B100,2,FALSE))))</f>
        <v>86.88</v>
      </c>
      <c r="AG3">
        <f t="shared" si="2"/>
        <v>3696.6</v>
      </c>
      <c r="AH3">
        <f t="shared" si="3"/>
        <v>2606.3999999999996</v>
      </c>
      <c r="AI3" t="str">
        <f t="shared" si="4"/>
        <v>OK_UMA</v>
      </c>
      <c r="AJ3" s="2" t="str">
        <f t="shared" si="5"/>
        <v>20201016 09:31:51</v>
      </c>
      <c r="AK3">
        <v>2606.4</v>
      </c>
      <c r="AL3">
        <v>0</v>
      </c>
      <c r="AM3">
        <f t="shared" si="6"/>
        <v>78192</v>
      </c>
      <c r="AN3">
        <f t="shared" si="7"/>
        <v>0</v>
      </c>
      <c r="AO3" t="str">
        <f t="shared" si="8"/>
        <v>Revisar_11.5%</v>
      </c>
      <c r="AP3">
        <v>3389.4652999999998</v>
      </c>
      <c r="AQ3" t="s">
        <v>315</v>
      </c>
      <c r="AR3">
        <v>13.148607</v>
      </c>
      <c r="AS3">
        <f t="shared" si="9"/>
        <v>44566.747169837101</v>
      </c>
      <c r="AT3">
        <f t="shared" si="10"/>
        <v>5125.1759245312669</v>
      </c>
      <c r="AU3" t="str">
        <f t="shared" si="11"/>
        <v>Error Validación 4</v>
      </c>
      <c r="AW3" t="str">
        <f t="shared" si="12"/>
        <v/>
      </c>
      <c r="AY3" t="str">
        <f t="shared" si="13"/>
        <v>Diferencia pagos en curso</v>
      </c>
      <c r="AZ3" t="str">
        <f t="shared" si="14"/>
        <v>No aplica</v>
      </c>
      <c r="BA3" t="str">
        <f t="shared" si="15"/>
        <v>No aplica</v>
      </c>
      <c r="BB3">
        <f t="shared" si="16"/>
        <v>2606.3999999999996</v>
      </c>
      <c r="BC3" t="str">
        <f t="shared" si="17"/>
        <v>Validación correcta</v>
      </c>
      <c r="BD3" t="str">
        <f t="shared" si="18"/>
        <v>Ningún comentario</v>
      </c>
      <c r="BE3" t="s">
        <v>312</v>
      </c>
      <c r="BF3" t="s">
        <v>314</v>
      </c>
    </row>
    <row r="4" spans="1:58" x14ac:dyDescent="0.2">
      <c r="A4" s="1">
        <v>8000251189</v>
      </c>
      <c r="B4" s="1">
        <v>3300416393</v>
      </c>
      <c r="C4" t="s">
        <v>32</v>
      </c>
      <c r="D4" t="s">
        <v>33</v>
      </c>
      <c r="E4" s="2">
        <v>44120.54509259</v>
      </c>
      <c r="F4">
        <v>2534.6999999999998</v>
      </c>
      <c r="G4" s="3">
        <v>0</v>
      </c>
      <c r="H4" t="s">
        <v>39</v>
      </c>
      <c r="I4" t="s">
        <v>40</v>
      </c>
      <c r="J4" t="s">
        <v>26</v>
      </c>
      <c r="K4" t="s">
        <v>27</v>
      </c>
      <c r="L4" t="s">
        <v>40</v>
      </c>
      <c r="M4" t="s">
        <v>41</v>
      </c>
      <c r="N4" s="2" t="s">
        <v>271</v>
      </c>
      <c r="O4" t="s">
        <v>29</v>
      </c>
      <c r="P4" t="s">
        <v>29</v>
      </c>
      <c r="T4" s="1">
        <v>1</v>
      </c>
      <c r="U4" t="s">
        <v>42</v>
      </c>
      <c r="V4" t="s">
        <v>29</v>
      </c>
      <c r="W4" t="s">
        <v>43</v>
      </c>
      <c r="Y4">
        <v>2534.6999999999998</v>
      </c>
      <c r="Z4" t="str">
        <f t="shared" si="0"/>
        <v>OK</v>
      </c>
      <c r="AA4" t="s">
        <v>313</v>
      </c>
      <c r="AC4" t="str">
        <f t="shared" si="1"/>
        <v>0</v>
      </c>
      <c r="AD4" s="5">
        <v>43680</v>
      </c>
      <c r="AE4">
        <f>IF(V4="SUBSECUENTE","No aplica",VLOOKUP(YEAR(AD4),'SALARIO MINIMO'!A1:B100,2,FALSE))</f>
        <v>102.68</v>
      </c>
      <c r="AF4">
        <f>IF(V4="SUBSECUENTE","No aplica",IF(YEAR(AD4)=2016,VLOOKUP(YEAR(AD4),UMA!A1:B100,2,FALSE),IF(MONTH(AD4)=1,VLOOKUP((YEAR(AD4))-1,UMA!A1:B100,2,FALSE),VLOOKUP(YEAR(AD4),UMA!A1:B100,2,FALSE))))</f>
        <v>84.49</v>
      </c>
      <c r="AG4">
        <f t="shared" si="2"/>
        <v>3080.4</v>
      </c>
      <c r="AH4">
        <f t="shared" si="3"/>
        <v>2534.6999999999998</v>
      </c>
      <c r="AI4" t="str">
        <f t="shared" si="4"/>
        <v>OK_UMA</v>
      </c>
      <c r="AJ4" s="2" t="str">
        <f t="shared" si="5"/>
        <v>20201016 12:08:15</v>
      </c>
      <c r="AK4">
        <v>2534.6999999999998</v>
      </c>
      <c r="AL4">
        <v>0</v>
      </c>
      <c r="AM4">
        <f t="shared" si="6"/>
        <v>76041</v>
      </c>
      <c r="AN4">
        <f t="shared" si="7"/>
        <v>0</v>
      </c>
      <c r="AO4" t="str">
        <f t="shared" si="8"/>
        <v>Revisar_11.5%</v>
      </c>
      <c r="AP4">
        <v>3157.9573409999998</v>
      </c>
      <c r="AQ4" t="s">
        <v>315</v>
      </c>
      <c r="AR4">
        <v>13.148607</v>
      </c>
      <c r="AS4">
        <f t="shared" si="9"/>
        <v>41522.739999573983</v>
      </c>
      <c r="AT4">
        <f t="shared" si="10"/>
        <v>4775.1150999510082</v>
      </c>
      <c r="AU4" t="str">
        <f t="shared" si="11"/>
        <v>Error Validación 4</v>
      </c>
      <c r="AW4" t="str">
        <f t="shared" si="12"/>
        <v/>
      </c>
      <c r="AY4" t="str">
        <f t="shared" si="13"/>
        <v>Diferencia pagos en curso</v>
      </c>
      <c r="AZ4" t="str">
        <f t="shared" si="14"/>
        <v>No aplica</v>
      </c>
      <c r="BA4" t="str">
        <f t="shared" si="15"/>
        <v>No aplica</v>
      </c>
      <c r="BB4">
        <f t="shared" si="16"/>
        <v>2534.6999999999998</v>
      </c>
      <c r="BC4" t="str">
        <f t="shared" si="17"/>
        <v>Validación correcta</v>
      </c>
      <c r="BD4" t="str">
        <f t="shared" si="18"/>
        <v>Ningún comentario</v>
      </c>
      <c r="BE4" t="s">
        <v>312</v>
      </c>
      <c r="BF4" t="s">
        <v>314</v>
      </c>
    </row>
    <row r="5" spans="1:58" x14ac:dyDescent="0.2">
      <c r="A5" s="1">
        <v>8000251209</v>
      </c>
      <c r="B5" s="1">
        <v>3300345189</v>
      </c>
      <c r="C5" t="s">
        <v>32</v>
      </c>
      <c r="D5" t="s">
        <v>33</v>
      </c>
      <c r="E5" s="2">
        <v>44120.547094900001</v>
      </c>
      <c r="F5">
        <v>2606.4</v>
      </c>
      <c r="G5" s="3">
        <v>0</v>
      </c>
      <c r="H5" t="s">
        <v>44</v>
      </c>
      <c r="I5" t="s">
        <v>45</v>
      </c>
      <c r="J5" t="s">
        <v>26</v>
      </c>
      <c r="K5" t="s">
        <v>27</v>
      </c>
      <c r="L5" t="s">
        <v>45</v>
      </c>
      <c r="M5" t="s">
        <v>46</v>
      </c>
      <c r="N5" s="2" t="s">
        <v>272</v>
      </c>
      <c r="O5" t="s">
        <v>29</v>
      </c>
      <c r="P5" t="s">
        <v>29</v>
      </c>
      <c r="T5" s="1">
        <v>1</v>
      </c>
      <c r="U5" t="s">
        <v>47</v>
      </c>
      <c r="V5" t="s">
        <v>29</v>
      </c>
      <c r="W5" t="s">
        <v>48</v>
      </c>
      <c r="Y5">
        <v>2606.4</v>
      </c>
      <c r="Z5" t="str">
        <f t="shared" si="0"/>
        <v>OK</v>
      </c>
      <c r="AA5" t="s">
        <v>313</v>
      </c>
      <c r="AC5" t="str">
        <f t="shared" si="1"/>
        <v>0</v>
      </c>
      <c r="AD5" s="5">
        <v>44099</v>
      </c>
      <c r="AE5">
        <f>IF(V5="SUBSECUENTE","No aplica",VLOOKUP(YEAR(AD5),'SALARIO MINIMO'!A1:B100,2,FALSE))</f>
        <v>123.22</v>
      </c>
      <c r="AF5">
        <f>IF(V5="SUBSECUENTE","No aplica",IF(YEAR(AD5)=2016,VLOOKUP(YEAR(AD5),UMA!A1:B100,2,FALSE),IF(MONTH(AD5)=1,VLOOKUP((YEAR(AD5))-1,UMA!A1:B100,2,FALSE),VLOOKUP(YEAR(AD5),UMA!A1:B100,2,FALSE))))</f>
        <v>86.88</v>
      </c>
      <c r="AG5">
        <f t="shared" si="2"/>
        <v>3696.6</v>
      </c>
      <c r="AH5">
        <f t="shared" si="3"/>
        <v>2606.3999999999996</v>
      </c>
      <c r="AI5" t="str">
        <f t="shared" si="4"/>
        <v>OK_UMA</v>
      </c>
      <c r="AJ5" s="2" t="str">
        <f t="shared" si="5"/>
        <v>20201016 12:11:43</v>
      </c>
      <c r="AK5">
        <v>2606.4</v>
      </c>
      <c r="AL5">
        <v>0</v>
      </c>
      <c r="AM5">
        <f t="shared" si="6"/>
        <v>78192</v>
      </c>
      <c r="AN5">
        <f t="shared" si="7"/>
        <v>0</v>
      </c>
      <c r="AO5" t="str">
        <f t="shared" si="8"/>
        <v>Revisar_11.5%</v>
      </c>
      <c r="AP5">
        <v>1835.1519579999999</v>
      </c>
      <c r="AQ5" t="s">
        <v>316</v>
      </c>
      <c r="AR5">
        <v>13.153222</v>
      </c>
      <c r="AS5">
        <f t="shared" si="9"/>
        <v>24138.161107308675</v>
      </c>
      <c r="AT5">
        <f t="shared" si="10"/>
        <v>2775.8885273404976</v>
      </c>
      <c r="AU5" t="str">
        <f t="shared" si="11"/>
        <v>Error Validación 4</v>
      </c>
      <c r="AW5" t="str">
        <f t="shared" si="12"/>
        <v/>
      </c>
      <c r="AY5" t="str">
        <f t="shared" si="13"/>
        <v>Diferencia pagos en curso</v>
      </c>
      <c r="AZ5" t="str">
        <f t="shared" si="14"/>
        <v>No aplica</v>
      </c>
      <c r="BA5" t="str">
        <f t="shared" si="15"/>
        <v>No aplica</v>
      </c>
      <c r="BB5">
        <f t="shared" si="16"/>
        <v>2606.3999999999996</v>
      </c>
      <c r="BC5" t="str">
        <f t="shared" si="17"/>
        <v>Validación correcta</v>
      </c>
      <c r="BD5" t="str">
        <f t="shared" si="18"/>
        <v>Ningún comentario</v>
      </c>
      <c r="BE5" t="s">
        <v>312</v>
      </c>
      <c r="BF5" t="s">
        <v>314</v>
      </c>
    </row>
    <row r="6" spans="1:58" x14ac:dyDescent="0.2">
      <c r="A6" s="1">
        <v>8000251067</v>
      </c>
      <c r="B6" s="1">
        <v>2580010214</v>
      </c>
      <c r="C6" t="s">
        <v>32</v>
      </c>
      <c r="D6" t="s">
        <v>33</v>
      </c>
      <c r="E6" s="2">
        <v>44120.565092589997</v>
      </c>
      <c r="F6">
        <v>2606.4</v>
      </c>
      <c r="G6" s="3">
        <v>0</v>
      </c>
      <c r="H6" t="s">
        <v>49</v>
      </c>
      <c r="I6" t="s">
        <v>50</v>
      </c>
      <c r="J6" t="s">
        <v>26</v>
      </c>
      <c r="K6" t="s">
        <v>27</v>
      </c>
      <c r="L6" t="s">
        <v>50</v>
      </c>
      <c r="M6" t="s">
        <v>51</v>
      </c>
      <c r="N6" s="2" t="s">
        <v>273</v>
      </c>
      <c r="O6" t="s">
        <v>29</v>
      </c>
      <c r="P6" t="s">
        <v>29</v>
      </c>
      <c r="T6" s="1">
        <v>1</v>
      </c>
      <c r="U6" t="s">
        <v>52</v>
      </c>
      <c r="V6" t="s">
        <v>29</v>
      </c>
      <c r="W6" t="s">
        <v>53</v>
      </c>
      <c r="Y6">
        <v>2606.4</v>
      </c>
      <c r="Z6" t="str">
        <f t="shared" si="0"/>
        <v>OK</v>
      </c>
      <c r="AA6" t="s">
        <v>313</v>
      </c>
      <c r="AC6" t="str">
        <f t="shared" si="1"/>
        <v>0</v>
      </c>
      <c r="AD6" s="5">
        <v>44044</v>
      </c>
      <c r="AE6">
        <f>IF(V6="SUBSECUENTE","No aplica",VLOOKUP(YEAR(AD6),'SALARIO MINIMO'!A1:B100,2,FALSE))</f>
        <v>123.22</v>
      </c>
      <c r="AF6">
        <f>IF(V6="SUBSECUENTE","No aplica",IF(YEAR(AD6)=2016,VLOOKUP(YEAR(AD6),UMA!A1:B100,2,FALSE),IF(MONTH(AD6)=1,VLOOKUP((YEAR(AD6))-1,UMA!A1:B100,2,FALSE),VLOOKUP(YEAR(AD6),UMA!A1:B100,2,FALSE))))</f>
        <v>86.88</v>
      </c>
      <c r="AG6">
        <f t="shared" si="2"/>
        <v>3696.6</v>
      </c>
      <c r="AH6">
        <f t="shared" si="3"/>
        <v>2606.3999999999996</v>
      </c>
      <c r="AI6" t="str">
        <f t="shared" si="4"/>
        <v>OK_UMA</v>
      </c>
      <c r="AJ6" s="2" t="str">
        <f t="shared" si="5"/>
        <v>20201016 11:08:20</v>
      </c>
      <c r="AK6">
        <v>2606.4</v>
      </c>
      <c r="AL6">
        <v>0</v>
      </c>
      <c r="AM6">
        <f t="shared" si="6"/>
        <v>78192</v>
      </c>
      <c r="AN6">
        <f t="shared" si="7"/>
        <v>0</v>
      </c>
      <c r="AO6" t="str">
        <f t="shared" si="8"/>
        <v>Revisar_11.5%</v>
      </c>
      <c r="AP6">
        <v>22534.10252</v>
      </c>
      <c r="AQ6" t="s">
        <v>317</v>
      </c>
      <c r="AR6">
        <v>13.238638</v>
      </c>
      <c r="AS6">
        <f t="shared" si="9"/>
        <v>298320.82591716776</v>
      </c>
      <c r="AT6">
        <f t="shared" si="10"/>
        <v>34306.894980474295</v>
      </c>
      <c r="AU6" t="str">
        <f t="shared" si="11"/>
        <v>Error Validación 4</v>
      </c>
      <c r="AW6" t="str">
        <f t="shared" si="12"/>
        <v/>
      </c>
      <c r="AY6" t="str">
        <f t="shared" si="13"/>
        <v>Diferencia pagos en curso</v>
      </c>
      <c r="AZ6" t="str">
        <f t="shared" si="14"/>
        <v>No aplica</v>
      </c>
      <c r="BA6" t="str">
        <f t="shared" si="15"/>
        <v>No aplica</v>
      </c>
      <c r="BB6">
        <f t="shared" si="16"/>
        <v>2606.3999999999996</v>
      </c>
      <c r="BC6" t="str">
        <f t="shared" si="17"/>
        <v>Validación correcta</v>
      </c>
      <c r="BD6" t="str">
        <f t="shared" si="18"/>
        <v>Ningún comentario</v>
      </c>
      <c r="BE6" t="s">
        <v>312</v>
      </c>
      <c r="BF6" t="s">
        <v>314</v>
      </c>
    </row>
    <row r="7" spans="1:58" x14ac:dyDescent="0.2">
      <c r="A7" s="1">
        <v>8000251081</v>
      </c>
      <c r="B7" s="1">
        <v>3200629676</v>
      </c>
      <c r="C7" t="s">
        <v>22</v>
      </c>
      <c r="D7" t="s">
        <v>23</v>
      </c>
      <c r="E7" s="2">
        <v>44120.472337959996</v>
      </c>
      <c r="F7">
        <v>12910.2</v>
      </c>
      <c r="G7" s="3">
        <v>0</v>
      </c>
      <c r="H7" t="s">
        <v>54</v>
      </c>
      <c r="I7" t="s">
        <v>55</v>
      </c>
      <c r="J7" t="s">
        <v>26</v>
      </c>
      <c r="K7" t="s">
        <v>27</v>
      </c>
      <c r="L7" t="s">
        <v>55</v>
      </c>
      <c r="M7" t="s">
        <v>56</v>
      </c>
      <c r="N7" s="2" t="s">
        <v>274</v>
      </c>
      <c r="O7" t="s">
        <v>29</v>
      </c>
      <c r="P7" t="s">
        <v>29</v>
      </c>
      <c r="T7" s="1">
        <v>1</v>
      </c>
      <c r="U7" t="s">
        <v>57</v>
      </c>
      <c r="V7" t="s">
        <v>29</v>
      </c>
      <c r="W7" t="s">
        <v>58</v>
      </c>
      <c r="Y7">
        <v>12910.2</v>
      </c>
      <c r="Z7" t="str">
        <f t="shared" si="0"/>
        <v>OK</v>
      </c>
      <c r="AA7" t="s">
        <v>313</v>
      </c>
      <c r="AC7" t="str">
        <f t="shared" si="1"/>
        <v>0</v>
      </c>
      <c r="AD7" s="5">
        <v>44120</v>
      </c>
      <c r="AE7">
        <f>IF(V7="SUBSECUENTE","No aplica",VLOOKUP(YEAR(AD7),'SALARIO MINIMO'!A1:B100,2,FALSE))</f>
        <v>123.22</v>
      </c>
      <c r="AF7">
        <f>IF(V7="SUBSECUENTE","No aplica",IF(YEAR(AD7)=2016,VLOOKUP(YEAR(AD7),UMA!A1:B100,2,FALSE),IF(MONTH(AD7)=1,VLOOKUP((YEAR(AD7))-1,UMA!A1:B100,2,FALSE),VLOOKUP(YEAR(AD7),UMA!A1:B100,2,FALSE))))</f>
        <v>86.88</v>
      </c>
      <c r="AG7">
        <f t="shared" si="2"/>
        <v>36966</v>
      </c>
      <c r="AH7">
        <f t="shared" si="3"/>
        <v>26063.999999999996</v>
      </c>
      <c r="AI7" t="str">
        <f t="shared" si="4"/>
        <v>Error Validacion 1</v>
      </c>
      <c r="AJ7" s="2" t="str">
        <f t="shared" si="5"/>
        <v>20201016 11:16:10</v>
      </c>
      <c r="AK7">
        <v>430.34</v>
      </c>
      <c r="AL7">
        <v>221.78</v>
      </c>
      <c r="AM7">
        <f t="shared" si="6"/>
        <v>12910.199999999999</v>
      </c>
      <c r="AN7">
        <f t="shared" si="7"/>
        <v>19960.2</v>
      </c>
      <c r="AO7" t="str">
        <f t="shared" si="8"/>
        <v>OK_SALA</v>
      </c>
      <c r="AP7">
        <v>3959.9609700000001</v>
      </c>
      <c r="AQ7" t="s">
        <v>317</v>
      </c>
      <c r="AR7">
        <v>13.238638</v>
      </c>
      <c r="AS7">
        <f t="shared" si="9"/>
        <v>52424.489775958864</v>
      </c>
      <c r="AT7" t="str">
        <f t="shared" si="10"/>
        <v>SAL_A</v>
      </c>
      <c r="AU7" t="str">
        <f t="shared" si="11"/>
        <v>SAL_A</v>
      </c>
      <c r="AW7" t="str">
        <f t="shared" si="12"/>
        <v/>
      </c>
      <c r="AY7" t="str">
        <f t="shared" si="13"/>
        <v>Diferencia pagos en curso</v>
      </c>
      <c r="AZ7" t="str">
        <f t="shared" si="14"/>
        <v>No aplica</v>
      </c>
      <c r="BA7" t="str">
        <f t="shared" si="15"/>
        <v>No aplica</v>
      </c>
      <c r="BB7">
        <f t="shared" si="16"/>
        <v>12910.199999999999</v>
      </c>
      <c r="BC7" t="str">
        <f t="shared" si="17"/>
        <v>Validación correcta</v>
      </c>
      <c r="BD7" t="str">
        <f t="shared" si="18"/>
        <v>Ningún comentario</v>
      </c>
      <c r="BE7" t="s">
        <v>312</v>
      </c>
      <c r="BF7" t="s">
        <v>314</v>
      </c>
    </row>
    <row r="8" spans="1:58" x14ac:dyDescent="0.2">
      <c r="A8" s="1">
        <v>8000251119</v>
      </c>
      <c r="B8" s="1">
        <v>3200390850</v>
      </c>
      <c r="C8" t="s">
        <v>22</v>
      </c>
      <c r="D8" t="s">
        <v>23</v>
      </c>
      <c r="E8" s="2">
        <v>44120.484004630001</v>
      </c>
      <c r="F8">
        <v>23464.2</v>
      </c>
      <c r="G8" s="3">
        <v>0</v>
      </c>
      <c r="H8" t="s">
        <v>59</v>
      </c>
      <c r="I8" t="s">
        <v>60</v>
      </c>
      <c r="J8" t="s">
        <v>26</v>
      </c>
      <c r="K8" t="s">
        <v>27</v>
      </c>
      <c r="L8" t="s">
        <v>60</v>
      </c>
      <c r="M8" t="s">
        <v>61</v>
      </c>
      <c r="N8" s="2" t="s">
        <v>275</v>
      </c>
      <c r="O8" t="s">
        <v>29</v>
      </c>
      <c r="P8" t="s">
        <v>29</v>
      </c>
      <c r="T8" s="1">
        <v>1</v>
      </c>
      <c r="U8" t="s">
        <v>62</v>
      </c>
      <c r="V8" t="s">
        <v>29</v>
      </c>
      <c r="W8" t="s">
        <v>63</v>
      </c>
      <c r="Y8">
        <v>23464.2</v>
      </c>
      <c r="Z8" t="str">
        <f t="shared" si="0"/>
        <v>OK</v>
      </c>
      <c r="AA8" t="s">
        <v>313</v>
      </c>
      <c r="AC8" t="str">
        <f t="shared" si="1"/>
        <v>0</v>
      </c>
      <c r="AD8" s="5">
        <v>44120</v>
      </c>
      <c r="AE8">
        <f>IF(V8="SUBSECUENTE","No aplica",VLOOKUP(YEAR(AD8),'SALARIO MINIMO'!A1:B100,2,FALSE))</f>
        <v>123.22</v>
      </c>
      <c r="AF8">
        <f>IF(V8="SUBSECUENTE","No aplica",IF(YEAR(AD8)=2016,VLOOKUP(YEAR(AD8),UMA!A1:B100,2,FALSE),IF(MONTH(AD8)=1,VLOOKUP((YEAR(AD8))-1,UMA!A1:B100,2,FALSE),VLOOKUP(YEAR(AD8),UMA!A1:B100,2,FALSE))))</f>
        <v>86.88</v>
      </c>
      <c r="AG8">
        <f t="shared" si="2"/>
        <v>36966</v>
      </c>
      <c r="AH8">
        <f t="shared" si="3"/>
        <v>26063.999999999996</v>
      </c>
      <c r="AI8" t="str">
        <f t="shared" si="4"/>
        <v>Error Validacion 1</v>
      </c>
      <c r="AJ8" s="2" t="str">
        <f t="shared" si="5"/>
        <v>20201016 11:32:58</v>
      </c>
      <c r="AK8">
        <v>782.14</v>
      </c>
      <c r="AL8">
        <v>1045.9000000000001</v>
      </c>
      <c r="AM8">
        <f t="shared" si="6"/>
        <v>23464.2</v>
      </c>
      <c r="AN8">
        <f t="shared" si="7"/>
        <v>94131.000000000015</v>
      </c>
      <c r="AO8" t="str">
        <f t="shared" si="8"/>
        <v>OK_SALA</v>
      </c>
      <c r="AP8">
        <v>59983.584239999996</v>
      </c>
      <c r="AQ8" t="s">
        <v>318</v>
      </c>
      <c r="AR8">
        <v>10.849608</v>
      </c>
      <c r="AS8">
        <f t="shared" si="9"/>
        <v>650798.37543897785</v>
      </c>
      <c r="AT8" t="str">
        <f t="shared" si="10"/>
        <v>SAL_A</v>
      </c>
      <c r="AU8" t="str">
        <f t="shared" si="11"/>
        <v>SAL_A</v>
      </c>
      <c r="AW8" t="str">
        <f t="shared" si="12"/>
        <v/>
      </c>
      <c r="AY8" t="str">
        <f t="shared" si="13"/>
        <v>Diferencia pagos en curso</v>
      </c>
      <c r="AZ8" t="str">
        <f t="shared" si="14"/>
        <v>No aplica</v>
      </c>
      <c r="BA8" t="str">
        <f t="shared" si="15"/>
        <v>No aplica</v>
      </c>
      <c r="BB8">
        <f t="shared" si="16"/>
        <v>23464.2</v>
      </c>
      <c r="BC8" t="str">
        <f t="shared" si="17"/>
        <v>Validación correcta</v>
      </c>
      <c r="BD8" t="str">
        <f t="shared" si="18"/>
        <v>Ningún comentario</v>
      </c>
      <c r="BE8" t="s">
        <v>312</v>
      </c>
      <c r="BF8" t="s">
        <v>314</v>
      </c>
    </row>
    <row r="9" spans="1:58" x14ac:dyDescent="0.2">
      <c r="A9" s="1">
        <v>8000251234</v>
      </c>
      <c r="B9" s="1">
        <v>3200043721</v>
      </c>
      <c r="C9" t="s">
        <v>32</v>
      </c>
      <c r="D9" t="s">
        <v>33</v>
      </c>
      <c r="E9" s="2">
        <v>44120.52256944</v>
      </c>
      <c r="F9">
        <v>2606.4</v>
      </c>
      <c r="G9" s="3">
        <v>0</v>
      </c>
      <c r="H9" t="s">
        <v>64</v>
      </c>
      <c r="I9" t="s">
        <v>65</v>
      </c>
      <c r="J9" t="s">
        <v>26</v>
      </c>
      <c r="K9" t="s">
        <v>27</v>
      </c>
      <c r="L9" t="s">
        <v>65</v>
      </c>
      <c r="M9" t="s">
        <v>66</v>
      </c>
      <c r="N9" s="2" t="s">
        <v>276</v>
      </c>
      <c r="O9" t="s">
        <v>29</v>
      </c>
      <c r="P9" t="s">
        <v>29</v>
      </c>
      <c r="T9" s="1">
        <v>1</v>
      </c>
      <c r="U9" t="s">
        <v>67</v>
      </c>
      <c r="V9" t="s">
        <v>29</v>
      </c>
      <c r="W9" t="s">
        <v>68</v>
      </c>
      <c r="Y9">
        <v>2606.4</v>
      </c>
      <c r="Z9" t="str">
        <f t="shared" si="0"/>
        <v>OK</v>
      </c>
      <c r="AA9" t="s">
        <v>313</v>
      </c>
      <c r="AC9" t="str">
        <f t="shared" si="1"/>
        <v>0</v>
      </c>
      <c r="AD9" s="5">
        <v>44109</v>
      </c>
      <c r="AE9">
        <f>IF(V9="SUBSECUENTE","No aplica",VLOOKUP(YEAR(AD9),'SALARIO MINIMO'!A1:B100,2,FALSE))</f>
        <v>123.22</v>
      </c>
      <c r="AF9">
        <f>IF(V9="SUBSECUENTE","No aplica",IF(YEAR(AD9)=2016,VLOOKUP(YEAR(AD9),UMA!A1:B100,2,FALSE),IF(MONTH(AD9)=1,VLOOKUP((YEAR(AD9))-1,UMA!A1:B100,2,FALSE),VLOOKUP(YEAR(AD9),UMA!A1:B100,2,FALSE))))</f>
        <v>86.88</v>
      </c>
      <c r="AG9">
        <f t="shared" si="2"/>
        <v>3696.6</v>
      </c>
      <c r="AH9">
        <f t="shared" si="3"/>
        <v>2606.3999999999996</v>
      </c>
      <c r="AI9" t="str">
        <f t="shared" si="4"/>
        <v>OK_UMA</v>
      </c>
      <c r="AJ9" s="2" t="str">
        <f t="shared" si="5"/>
        <v>20201016 12:27:20</v>
      </c>
      <c r="AK9">
        <v>2606.4</v>
      </c>
      <c r="AL9">
        <v>0</v>
      </c>
      <c r="AM9">
        <f t="shared" si="6"/>
        <v>78192</v>
      </c>
      <c r="AN9">
        <f t="shared" si="7"/>
        <v>0</v>
      </c>
      <c r="AO9" t="str">
        <f t="shared" si="8"/>
        <v>Revisar_11.5%</v>
      </c>
      <c r="AP9">
        <v>28749.079030000001</v>
      </c>
      <c r="AQ9" t="s">
        <v>318</v>
      </c>
      <c r="AR9">
        <v>10.849608</v>
      </c>
      <c r="AS9">
        <f t="shared" si="9"/>
        <v>311916.23783652025</v>
      </c>
      <c r="AT9">
        <f t="shared" si="10"/>
        <v>35870.367351199828</v>
      </c>
      <c r="AU9" t="str">
        <f t="shared" si="11"/>
        <v>Error Validación 4</v>
      </c>
      <c r="AW9" t="str">
        <f t="shared" si="12"/>
        <v/>
      </c>
      <c r="AY9" t="str">
        <f t="shared" si="13"/>
        <v>Diferencia pagos en curso</v>
      </c>
      <c r="AZ9" t="str">
        <f t="shared" si="14"/>
        <v>No aplica</v>
      </c>
      <c r="BA9" t="str">
        <f t="shared" si="15"/>
        <v>No aplica</v>
      </c>
      <c r="BB9">
        <f t="shared" si="16"/>
        <v>2606.3999999999996</v>
      </c>
      <c r="BC9" t="str">
        <f t="shared" si="17"/>
        <v>Validación correcta</v>
      </c>
      <c r="BD9" t="str">
        <f t="shared" si="18"/>
        <v>Ningún comentario</v>
      </c>
      <c r="BE9" t="s">
        <v>312</v>
      </c>
      <c r="BF9" t="s">
        <v>314</v>
      </c>
    </row>
    <row r="10" spans="1:58" x14ac:dyDescent="0.2">
      <c r="A10" s="1">
        <v>8000251394</v>
      </c>
      <c r="B10" s="4" t="s">
        <v>263</v>
      </c>
      <c r="C10" t="s">
        <v>22</v>
      </c>
      <c r="D10" t="s">
        <v>23</v>
      </c>
      <c r="E10" s="2">
        <v>44120.553182869997</v>
      </c>
      <c r="F10">
        <v>6870.6</v>
      </c>
      <c r="G10" s="3">
        <v>0</v>
      </c>
      <c r="H10" t="s">
        <v>69</v>
      </c>
      <c r="I10" t="s">
        <v>70</v>
      </c>
      <c r="J10" t="s">
        <v>26</v>
      </c>
      <c r="K10" t="s">
        <v>27</v>
      </c>
      <c r="L10" t="s">
        <v>70</v>
      </c>
      <c r="M10" t="s">
        <v>71</v>
      </c>
      <c r="N10" s="2" t="s">
        <v>277</v>
      </c>
      <c r="O10" t="s">
        <v>29</v>
      </c>
      <c r="P10" t="s">
        <v>29</v>
      </c>
      <c r="T10" s="1">
        <v>1</v>
      </c>
      <c r="U10" t="s">
        <v>72</v>
      </c>
      <c r="V10" t="s">
        <v>29</v>
      </c>
      <c r="W10" t="s">
        <v>73</v>
      </c>
      <c r="Y10">
        <v>6870.6</v>
      </c>
      <c r="Z10" t="str">
        <f t="shared" si="0"/>
        <v>OK</v>
      </c>
      <c r="AA10" t="s">
        <v>313</v>
      </c>
      <c r="AC10" t="str">
        <f t="shared" si="1"/>
        <v>0</v>
      </c>
      <c r="AD10" s="5">
        <v>44120</v>
      </c>
      <c r="AE10">
        <f>IF(V10="SUBSECUENTE","No aplica",VLOOKUP(YEAR(AD10),'SALARIO MINIMO'!A1:B100,2,FALSE))</f>
        <v>123.22</v>
      </c>
      <c r="AF10">
        <f>IF(V10="SUBSECUENTE","No aplica",IF(YEAR(AD10)=2016,VLOOKUP(YEAR(AD10),UMA!A1:B100,2,FALSE),IF(MONTH(AD10)=1,VLOOKUP((YEAR(AD10))-1,UMA!A1:B100,2,FALSE),VLOOKUP(YEAR(AD10),UMA!A1:B100,2,FALSE))))</f>
        <v>86.88</v>
      </c>
      <c r="AG10">
        <f t="shared" si="2"/>
        <v>36966</v>
      </c>
      <c r="AH10">
        <f t="shared" si="3"/>
        <v>26063.999999999996</v>
      </c>
      <c r="AI10" t="str">
        <f t="shared" si="4"/>
        <v>Error Validacion 1</v>
      </c>
      <c r="AJ10" s="2" t="str">
        <f t="shared" si="5"/>
        <v>20201016 13:08:35</v>
      </c>
      <c r="AK10">
        <v>229.02</v>
      </c>
      <c r="AL10">
        <v>98.98</v>
      </c>
      <c r="AM10">
        <f t="shared" si="6"/>
        <v>6870.6</v>
      </c>
      <c r="AN10">
        <f t="shared" si="7"/>
        <v>8908.2000000000007</v>
      </c>
      <c r="AO10" t="str">
        <f t="shared" si="8"/>
        <v>OK_SALA</v>
      </c>
      <c r="AP10">
        <v>1364.419079</v>
      </c>
      <c r="AQ10" t="s">
        <v>319</v>
      </c>
      <c r="AR10">
        <v>12.091010000000001</v>
      </c>
      <c r="AS10">
        <f t="shared" si="9"/>
        <v>16497.204728379791</v>
      </c>
      <c r="AT10" t="str">
        <f t="shared" si="10"/>
        <v>SAL_A</v>
      </c>
      <c r="AU10" t="str">
        <f t="shared" si="11"/>
        <v>SAL_A</v>
      </c>
      <c r="AW10" t="str">
        <f t="shared" si="12"/>
        <v/>
      </c>
      <c r="AY10" t="str">
        <f t="shared" si="13"/>
        <v>Diferencia pagos en curso</v>
      </c>
      <c r="AZ10" t="str">
        <f t="shared" si="14"/>
        <v>No aplica</v>
      </c>
      <c r="BA10" t="str">
        <f t="shared" si="15"/>
        <v>No aplica</v>
      </c>
      <c r="BB10">
        <f t="shared" si="16"/>
        <v>6870.6</v>
      </c>
      <c r="BC10" t="str">
        <f t="shared" si="17"/>
        <v>Validación correcta</v>
      </c>
      <c r="BD10" t="str">
        <f t="shared" si="18"/>
        <v>Ningún comentario</v>
      </c>
      <c r="BE10" t="s">
        <v>312</v>
      </c>
      <c r="BF10" t="s">
        <v>314</v>
      </c>
    </row>
    <row r="11" spans="1:58" x14ac:dyDescent="0.2">
      <c r="A11" s="1">
        <v>8000251522</v>
      </c>
      <c r="B11" s="1">
        <v>1840007958</v>
      </c>
      <c r="C11" t="s">
        <v>22</v>
      </c>
      <c r="D11" t="s">
        <v>23</v>
      </c>
      <c r="E11" s="2">
        <v>44120.605358790002</v>
      </c>
      <c r="F11">
        <v>7575.6</v>
      </c>
      <c r="G11" s="3">
        <v>0</v>
      </c>
      <c r="H11" t="s">
        <v>74</v>
      </c>
      <c r="I11" t="s">
        <v>75</v>
      </c>
      <c r="J11" t="s">
        <v>26</v>
      </c>
      <c r="K11" t="s">
        <v>27</v>
      </c>
      <c r="L11" t="s">
        <v>75</v>
      </c>
      <c r="M11" t="s">
        <v>76</v>
      </c>
      <c r="N11" s="2" t="s">
        <v>278</v>
      </c>
      <c r="O11" t="s">
        <v>29</v>
      </c>
      <c r="P11" t="s">
        <v>29</v>
      </c>
      <c r="T11" s="1">
        <v>1</v>
      </c>
      <c r="U11" t="s">
        <v>77</v>
      </c>
      <c r="V11" t="s">
        <v>29</v>
      </c>
      <c r="W11" t="s">
        <v>78</v>
      </c>
      <c r="Y11">
        <v>7575.6</v>
      </c>
      <c r="Z11" t="str">
        <f t="shared" si="0"/>
        <v>OK</v>
      </c>
      <c r="AA11" t="s">
        <v>313</v>
      </c>
      <c r="AC11" t="str">
        <f t="shared" si="1"/>
        <v>0</v>
      </c>
      <c r="AD11" s="5">
        <v>44120</v>
      </c>
      <c r="AE11">
        <f>IF(V11="SUBSECUENTE","No aplica",VLOOKUP(YEAR(AD11),'SALARIO MINIMO'!A1:B100,2,FALSE))</f>
        <v>123.22</v>
      </c>
      <c r="AF11">
        <f>IF(V11="SUBSECUENTE","No aplica",IF(YEAR(AD11)=2016,VLOOKUP(YEAR(AD11),UMA!A1:B100,2,FALSE),IF(MONTH(AD11)=1,VLOOKUP((YEAR(AD11))-1,UMA!A1:B100,2,FALSE),VLOOKUP(YEAR(AD11),UMA!A1:B100,2,FALSE))))</f>
        <v>86.88</v>
      </c>
      <c r="AG11">
        <f t="shared" si="2"/>
        <v>36966</v>
      </c>
      <c r="AH11">
        <f t="shared" si="3"/>
        <v>26063.999999999996</v>
      </c>
      <c r="AI11" t="str">
        <f t="shared" si="4"/>
        <v>Error Validacion 1</v>
      </c>
      <c r="AJ11" s="2" t="str">
        <f t="shared" si="5"/>
        <v>20201016 14:27:43</v>
      </c>
      <c r="AK11">
        <v>252.52</v>
      </c>
      <c r="AL11">
        <v>166.24</v>
      </c>
      <c r="AM11">
        <f t="shared" si="6"/>
        <v>7575.6</v>
      </c>
      <c r="AN11">
        <f t="shared" si="7"/>
        <v>14961.6</v>
      </c>
      <c r="AO11" t="str">
        <f t="shared" si="8"/>
        <v>OK_SALA</v>
      </c>
      <c r="AP11">
        <v>3023.4180409999999</v>
      </c>
      <c r="AQ11" t="s">
        <v>318</v>
      </c>
      <c r="AR11">
        <v>10.849608</v>
      </c>
      <c r="AS11">
        <f t="shared" si="9"/>
        <v>32802.900564977928</v>
      </c>
      <c r="AT11" t="str">
        <f t="shared" si="10"/>
        <v>SAL_A</v>
      </c>
      <c r="AU11" t="str">
        <f t="shared" si="11"/>
        <v>SAL_A</v>
      </c>
      <c r="AW11" t="str">
        <f t="shared" si="12"/>
        <v/>
      </c>
      <c r="AY11" t="str">
        <f t="shared" si="13"/>
        <v>Diferencia pagos en curso</v>
      </c>
      <c r="AZ11" t="str">
        <f t="shared" si="14"/>
        <v>No aplica</v>
      </c>
      <c r="BA11" t="str">
        <f t="shared" si="15"/>
        <v>No aplica</v>
      </c>
      <c r="BB11">
        <f t="shared" si="16"/>
        <v>7575.6</v>
      </c>
      <c r="BC11" t="str">
        <f t="shared" si="17"/>
        <v>Validación correcta</v>
      </c>
      <c r="BD11" t="str">
        <f t="shared" si="18"/>
        <v>Ningún comentario</v>
      </c>
      <c r="BE11" t="s">
        <v>312</v>
      </c>
      <c r="BF11" t="s">
        <v>314</v>
      </c>
    </row>
    <row r="12" spans="1:58" x14ac:dyDescent="0.2">
      <c r="A12" s="1">
        <v>8000250751</v>
      </c>
      <c r="B12" s="1">
        <v>1100031358</v>
      </c>
      <c r="C12" t="s">
        <v>22</v>
      </c>
      <c r="D12" t="s">
        <v>23</v>
      </c>
      <c r="E12" s="2">
        <v>44120.425069440003</v>
      </c>
      <c r="F12">
        <v>26064</v>
      </c>
      <c r="G12" s="3">
        <v>0</v>
      </c>
      <c r="H12" t="s">
        <v>79</v>
      </c>
      <c r="I12" t="s">
        <v>80</v>
      </c>
      <c r="J12" t="s">
        <v>26</v>
      </c>
      <c r="K12" t="s">
        <v>27</v>
      </c>
      <c r="L12" t="s">
        <v>80</v>
      </c>
      <c r="M12" t="s">
        <v>71</v>
      </c>
      <c r="N12" s="2" t="s">
        <v>279</v>
      </c>
      <c r="O12" t="s">
        <v>29</v>
      </c>
      <c r="P12" t="s">
        <v>29</v>
      </c>
      <c r="T12" s="1">
        <v>1</v>
      </c>
      <c r="U12" t="s">
        <v>81</v>
      </c>
      <c r="V12" t="s">
        <v>29</v>
      </c>
      <c r="W12" t="s">
        <v>82</v>
      </c>
      <c r="Y12">
        <v>26064</v>
      </c>
      <c r="Z12" t="str">
        <f t="shared" si="0"/>
        <v>OK</v>
      </c>
      <c r="AA12" t="s">
        <v>313</v>
      </c>
      <c r="AC12" t="str">
        <f t="shared" si="1"/>
        <v>0</v>
      </c>
      <c r="AD12" s="5">
        <v>44120</v>
      </c>
      <c r="AE12">
        <f>IF(V12="SUBSECUENTE","No aplica",VLOOKUP(YEAR(AD12),'SALARIO MINIMO'!A1:B100,2,FALSE))</f>
        <v>123.22</v>
      </c>
      <c r="AF12">
        <f>IF(V12="SUBSECUENTE","No aplica",IF(YEAR(AD12)=2016,VLOOKUP(YEAR(AD12),UMA!A1:B100,2,FALSE),IF(MONTH(AD12)=1,VLOOKUP((YEAR(AD12))-1,UMA!A1:B100,2,FALSE),VLOOKUP(YEAR(AD12),UMA!A1:B100,2,FALSE))))</f>
        <v>86.88</v>
      </c>
      <c r="AG12">
        <f t="shared" si="2"/>
        <v>36966</v>
      </c>
      <c r="AH12">
        <f t="shared" si="3"/>
        <v>26063.999999999996</v>
      </c>
      <c r="AI12" t="str">
        <f t="shared" si="4"/>
        <v>OK_UMA</v>
      </c>
      <c r="AJ12" s="2" t="str">
        <f t="shared" si="5"/>
        <v>20201016 10:04:20</v>
      </c>
      <c r="AK12">
        <v>896.59</v>
      </c>
      <c r="AL12">
        <v>653.49</v>
      </c>
      <c r="AM12">
        <f t="shared" si="6"/>
        <v>26897.7</v>
      </c>
      <c r="AN12">
        <f t="shared" si="7"/>
        <v>58814.1</v>
      </c>
      <c r="AO12" t="str">
        <f t="shared" si="8"/>
        <v>Revisar_11.5%</v>
      </c>
      <c r="AP12">
        <v>13166.31019</v>
      </c>
      <c r="AQ12" t="s">
        <v>319</v>
      </c>
      <c r="AR12">
        <v>12.091010000000001</v>
      </c>
      <c r="AS12">
        <f t="shared" si="9"/>
        <v>159193.98817039191</v>
      </c>
      <c r="AT12">
        <f t="shared" si="10"/>
        <v>18307.30863959507</v>
      </c>
      <c r="AU12" t="str">
        <f t="shared" si="11"/>
        <v>Error Validación 4</v>
      </c>
      <c r="AW12" t="str">
        <f t="shared" si="12"/>
        <v/>
      </c>
      <c r="AY12" t="str">
        <f t="shared" si="13"/>
        <v>Diferencia pagos en curso</v>
      </c>
      <c r="AZ12" t="str">
        <f t="shared" si="14"/>
        <v>No aplica</v>
      </c>
      <c r="BA12" t="str">
        <f t="shared" si="15"/>
        <v>No aplica</v>
      </c>
      <c r="BB12">
        <f t="shared" si="16"/>
        <v>26063.999999999996</v>
      </c>
      <c r="BC12" t="str">
        <f t="shared" si="17"/>
        <v>Validación correcta</v>
      </c>
      <c r="BD12" t="str">
        <f t="shared" si="18"/>
        <v>Ningún comentario</v>
      </c>
      <c r="BE12" t="s">
        <v>312</v>
      </c>
      <c r="BF12" t="s">
        <v>314</v>
      </c>
    </row>
    <row r="13" spans="1:58" x14ac:dyDescent="0.2">
      <c r="A13" s="1">
        <v>8000250604</v>
      </c>
      <c r="B13" s="1">
        <v>3300159793</v>
      </c>
      <c r="C13" t="s">
        <v>32</v>
      </c>
      <c r="D13" t="s">
        <v>33</v>
      </c>
      <c r="E13" s="2">
        <v>44120.353217590004</v>
      </c>
      <c r="F13">
        <v>2606.4</v>
      </c>
      <c r="G13" s="3">
        <v>0</v>
      </c>
      <c r="H13" t="s">
        <v>83</v>
      </c>
      <c r="I13" t="s">
        <v>84</v>
      </c>
      <c r="J13" t="s">
        <v>26</v>
      </c>
      <c r="K13" t="s">
        <v>27</v>
      </c>
      <c r="L13" t="s">
        <v>84</v>
      </c>
      <c r="M13" t="s">
        <v>36</v>
      </c>
      <c r="N13" s="2" t="s">
        <v>280</v>
      </c>
      <c r="O13" t="s">
        <v>29</v>
      </c>
      <c r="P13" t="s">
        <v>29</v>
      </c>
      <c r="T13" s="1">
        <v>1</v>
      </c>
      <c r="U13" t="s">
        <v>85</v>
      </c>
      <c r="V13" t="s">
        <v>29</v>
      </c>
      <c r="W13" t="s">
        <v>86</v>
      </c>
      <c r="Y13">
        <v>2606.4</v>
      </c>
      <c r="Z13" t="str">
        <f t="shared" si="0"/>
        <v>OK</v>
      </c>
      <c r="AA13" t="s">
        <v>313</v>
      </c>
      <c r="AC13" t="str">
        <f t="shared" si="1"/>
        <v>0</v>
      </c>
      <c r="AD13" s="5">
        <v>44106</v>
      </c>
      <c r="AE13">
        <f>IF(V13="SUBSECUENTE","No aplica",VLOOKUP(YEAR(AD13),'SALARIO MINIMO'!A1:B100,2,FALSE))</f>
        <v>123.22</v>
      </c>
      <c r="AF13">
        <f>IF(V13="SUBSECUENTE","No aplica",IF(YEAR(AD13)=2016,VLOOKUP(YEAR(AD13),UMA!A1:B100,2,FALSE),IF(MONTH(AD13)=1,VLOOKUP((YEAR(AD13))-1,UMA!A1:B100,2,FALSE),VLOOKUP(YEAR(AD13),UMA!A1:B100,2,FALSE))))</f>
        <v>86.88</v>
      </c>
      <c r="AG13">
        <f t="shared" si="2"/>
        <v>3696.6</v>
      </c>
      <c r="AH13">
        <f t="shared" si="3"/>
        <v>2606.3999999999996</v>
      </c>
      <c r="AI13" t="str">
        <f t="shared" si="4"/>
        <v>OK_UMA</v>
      </c>
      <c r="AJ13" s="2" t="str">
        <f t="shared" si="5"/>
        <v>20201016 08:16:58</v>
      </c>
      <c r="AK13">
        <v>2606.4</v>
      </c>
      <c r="AL13">
        <v>0</v>
      </c>
      <c r="AM13">
        <f t="shared" si="6"/>
        <v>78192</v>
      </c>
      <c r="AN13">
        <f t="shared" si="7"/>
        <v>0</v>
      </c>
      <c r="AO13" t="str">
        <f t="shared" si="8"/>
        <v>Revisar_11.5%</v>
      </c>
      <c r="AP13">
        <v>7184.0363710000001</v>
      </c>
      <c r="AQ13" t="s">
        <v>315</v>
      </c>
      <c r="AR13">
        <v>13.148607</v>
      </c>
      <c r="AS13">
        <f t="shared" si="9"/>
        <v>94460.070915985198</v>
      </c>
      <c r="AT13">
        <f t="shared" si="10"/>
        <v>10862.908155338298</v>
      </c>
      <c r="AU13" t="str">
        <f t="shared" si="11"/>
        <v>Error Validación 4</v>
      </c>
      <c r="AW13" t="str">
        <f t="shared" si="12"/>
        <v/>
      </c>
      <c r="AY13" t="str">
        <f t="shared" si="13"/>
        <v>Diferencia pagos en curso</v>
      </c>
      <c r="AZ13" t="str">
        <f t="shared" si="14"/>
        <v>No aplica</v>
      </c>
      <c r="BA13" t="str">
        <f t="shared" si="15"/>
        <v>No aplica</v>
      </c>
      <c r="BB13">
        <f t="shared" si="16"/>
        <v>2606.3999999999996</v>
      </c>
      <c r="BC13" t="str">
        <f t="shared" si="17"/>
        <v>Validación correcta</v>
      </c>
      <c r="BD13" t="str">
        <f t="shared" si="18"/>
        <v>Ningún comentario</v>
      </c>
      <c r="BE13" t="s">
        <v>312</v>
      </c>
      <c r="BF13" t="s">
        <v>314</v>
      </c>
    </row>
    <row r="14" spans="1:58" x14ac:dyDescent="0.2">
      <c r="A14" s="1">
        <v>8000250677</v>
      </c>
      <c r="B14" s="1">
        <v>3300030382</v>
      </c>
      <c r="C14" t="s">
        <v>22</v>
      </c>
      <c r="D14" t="s">
        <v>23</v>
      </c>
      <c r="E14" s="2">
        <v>44120.356782399998</v>
      </c>
      <c r="F14">
        <v>17699.099999999999</v>
      </c>
      <c r="G14" s="3">
        <v>0</v>
      </c>
      <c r="H14" t="s">
        <v>87</v>
      </c>
      <c r="I14" t="s">
        <v>88</v>
      </c>
      <c r="J14" t="s">
        <v>26</v>
      </c>
      <c r="K14" t="s">
        <v>27</v>
      </c>
      <c r="L14" t="s">
        <v>88</v>
      </c>
      <c r="M14" t="s">
        <v>71</v>
      </c>
      <c r="N14" s="2" t="s">
        <v>281</v>
      </c>
      <c r="O14" t="s">
        <v>29</v>
      </c>
      <c r="P14" t="s">
        <v>29</v>
      </c>
      <c r="T14" s="1">
        <v>1</v>
      </c>
      <c r="U14" t="s">
        <v>89</v>
      </c>
      <c r="V14" t="s">
        <v>29</v>
      </c>
      <c r="W14" t="s">
        <v>90</v>
      </c>
      <c r="Y14">
        <v>17699.099999999999</v>
      </c>
      <c r="Z14" t="str">
        <f t="shared" si="0"/>
        <v>OK</v>
      </c>
      <c r="AA14" t="s">
        <v>313</v>
      </c>
      <c r="AC14" t="str">
        <f t="shared" si="1"/>
        <v>0</v>
      </c>
      <c r="AD14" s="5">
        <v>44120</v>
      </c>
      <c r="AE14">
        <f>IF(V14="SUBSECUENTE","No aplica",VLOOKUP(YEAR(AD14),'SALARIO MINIMO'!A1:B100,2,FALSE))</f>
        <v>123.22</v>
      </c>
      <c r="AF14">
        <f>IF(V14="SUBSECUENTE","No aplica",IF(YEAR(AD14)=2016,VLOOKUP(YEAR(AD14),UMA!A1:B100,2,FALSE),IF(MONTH(AD14)=1,VLOOKUP((YEAR(AD14))-1,UMA!A1:B100,2,FALSE),VLOOKUP(YEAR(AD14),UMA!A1:B100,2,FALSE))))</f>
        <v>86.88</v>
      </c>
      <c r="AG14">
        <f t="shared" si="2"/>
        <v>36966</v>
      </c>
      <c r="AH14">
        <f t="shared" si="3"/>
        <v>26063.999999999996</v>
      </c>
      <c r="AI14" t="str">
        <f t="shared" si="4"/>
        <v>Error Validacion 1</v>
      </c>
      <c r="AJ14" s="2" t="str">
        <f t="shared" si="5"/>
        <v>20201016 08:29:46</v>
      </c>
      <c r="AK14">
        <v>589.97</v>
      </c>
      <c r="AL14">
        <v>495.66</v>
      </c>
      <c r="AM14">
        <f t="shared" si="6"/>
        <v>17699.100000000002</v>
      </c>
      <c r="AN14">
        <f t="shared" si="7"/>
        <v>44609.4</v>
      </c>
      <c r="AO14" t="str">
        <f t="shared" si="8"/>
        <v>OK_SALA</v>
      </c>
      <c r="AP14">
        <v>4576.2659210000002</v>
      </c>
      <c r="AQ14" t="s">
        <v>315</v>
      </c>
      <c r="AR14">
        <v>13.148607</v>
      </c>
      <c r="AS14">
        <f t="shared" si="9"/>
        <v>60171.522122722046</v>
      </c>
      <c r="AT14" t="str">
        <f t="shared" si="10"/>
        <v>SAL_A</v>
      </c>
      <c r="AU14" t="str">
        <f t="shared" si="11"/>
        <v>SAL_A</v>
      </c>
      <c r="AW14" t="str">
        <f t="shared" si="12"/>
        <v/>
      </c>
      <c r="AY14" t="str">
        <f t="shared" si="13"/>
        <v>Diferencia pagos en curso</v>
      </c>
      <c r="AZ14" t="str">
        <f t="shared" si="14"/>
        <v>No aplica</v>
      </c>
      <c r="BA14" t="str">
        <f t="shared" si="15"/>
        <v>No aplica</v>
      </c>
      <c r="BB14">
        <f t="shared" si="16"/>
        <v>17699.100000000002</v>
      </c>
      <c r="BC14" t="str">
        <f t="shared" si="17"/>
        <v>Validación correcta</v>
      </c>
      <c r="BD14" t="str">
        <f t="shared" si="18"/>
        <v>Ningún comentario</v>
      </c>
      <c r="BE14" t="s">
        <v>312</v>
      </c>
      <c r="BF14" t="s">
        <v>314</v>
      </c>
    </row>
    <row r="15" spans="1:58" x14ac:dyDescent="0.2">
      <c r="A15" s="1">
        <v>8000251396</v>
      </c>
      <c r="B15" s="1">
        <v>2540024129</v>
      </c>
      <c r="C15" t="s">
        <v>32</v>
      </c>
      <c r="D15" t="s">
        <v>33</v>
      </c>
      <c r="E15" s="2">
        <v>44120.589930549999</v>
      </c>
      <c r="F15">
        <v>2606.4</v>
      </c>
      <c r="G15" s="3">
        <v>0</v>
      </c>
      <c r="H15" t="s">
        <v>91</v>
      </c>
      <c r="I15" t="s">
        <v>92</v>
      </c>
      <c r="J15" t="s">
        <v>26</v>
      </c>
      <c r="K15" t="s">
        <v>27</v>
      </c>
      <c r="L15" t="s">
        <v>92</v>
      </c>
      <c r="M15" t="s">
        <v>93</v>
      </c>
      <c r="N15" s="2" t="s">
        <v>282</v>
      </c>
      <c r="O15" t="s">
        <v>29</v>
      </c>
      <c r="P15" t="s">
        <v>29</v>
      </c>
      <c r="T15" s="1">
        <v>1</v>
      </c>
      <c r="U15" t="s">
        <v>94</v>
      </c>
      <c r="V15" t="s">
        <v>29</v>
      </c>
      <c r="W15" t="s">
        <v>95</v>
      </c>
      <c r="Y15">
        <v>2606.4</v>
      </c>
      <c r="Z15" t="str">
        <f t="shared" si="0"/>
        <v>OK</v>
      </c>
      <c r="AA15" t="s">
        <v>313</v>
      </c>
      <c r="AC15" t="str">
        <f t="shared" si="1"/>
        <v>0</v>
      </c>
      <c r="AD15" s="5">
        <v>44056</v>
      </c>
      <c r="AE15">
        <f>IF(V15="SUBSECUENTE","No aplica",VLOOKUP(YEAR(AD15),'SALARIO MINIMO'!A1:B100,2,FALSE))</f>
        <v>123.22</v>
      </c>
      <c r="AF15">
        <f>IF(V15="SUBSECUENTE","No aplica",IF(YEAR(AD15)=2016,VLOOKUP(YEAR(AD15),UMA!A1:B100,2,FALSE),IF(MONTH(AD15)=1,VLOOKUP((YEAR(AD15))-1,UMA!A1:B100,2,FALSE),VLOOKUP(YEAR(AD15),UMA!A1:B100,2,FALSE))))</f>
        <v>86.88</v>
      </c>
      <c r="AG15">
        <f t="shared" si="2"/>
        <v>3696.6</v>
      </c>
      <c r="AH15">
        <f t="shared" si="3"/>
        <v>2606.3999999999996</v>
      </c>
      <c r="AI15" t="str">
        <f t="shared" si="4"/>
        <v>OK_UMA</v>
      </c>
      <c r="AJ15" s="2" t="str">
        <f t="shared" si="5"/>
        <v>20201016 13:24:39</v>
      </c>
      <c r="AK15">
        <v>2606.4</v>
      </c>
      <c r="AL15">
        <v>0</v>
      </c>
      <c r="AM15">
        <f t="shared" si="6"/>
        <v>78192</v>
      </c>
      <c r="AN15">
        <f t="shared" si="7"/>
        <v>0</v>
      </c>
      <c r="AO15" t="str">
        <f t="shared" si="8"/>
        <v>Revisar_11.5%</v>
      </c>
      <c r="AP15">
        <v>71577.688250000007</v>
      </c>
      <c r="AQ15" t="s">
        <v>318</v>
      </c>
      <c r="AR15">
        <v>10.849608</v>
      </c>
      <c r="AS15">
        <f t="shared" si="9"/>
        <v>776589.85905870609</v>
      </c>
      <c r="AT15">
        <f t="shared" si="10"/>
        <v>89307.833791751211</v>
      </c>
      <c r="AU15" t="str">
        <f t="shared" si="11"/>
        <v>Error Validación 4</v>
      </c>
      <c r="AW15" t="str">
        <f t="shared" si="12"/>
        <v/>
      </c>
      <c r="AY15" t="str">
        <f t="shared" si="13"/>
        <v>Diferencia pagos en curso</v>
      </c>
      <c r="AZ15" t="str">
        <f t="shared" si="14"/>
        <v>No aplica</v>
      </c>
      <c r="BA15" t="str">
        <f t="shared" si="15"/>
        <v>No aplica</v>
      </c>
      <c r="BB15">
        <f t="shared" si="16"/>
        <v>2606.3999999999996</v>
      </c>
      <c r="BC15" t="str">
        <f t="shared" si="17"/>
        <v>Validación correcta</v>
      </c>
      <c r="BD15" t="str">
        <f t="shared" si="18"/>
        <v>Ningún comentario</v>
      </c>
      <c r="BE15" t="s">
        <v>312</v>
      </c>
      <c r="BF15" t="s">
        <v>314</v>
      </c>
    </row>
    <row r="16" spans="1:58" x14ac:dyDescent="0.2">
      <c r="A16" s="1">
        <v>8000251457</v>
      </c>
      <c r="B16" s="1">
        <v>3300354654</v>
      </c>
      <c r="C16" t="s">
        <v>32</v>
      </c>
      <c r="D16" t="s">
        <v>23</v>
      </c>
      <c r="E16" s="2">
        <v>44120.578368050003</v>
      </c>
      <c r="F16">
        <v>2606.4</v>
      </c>
      <c r="G16" s="3">
        <v>0</v>
      </c>
      <c r="H16" t="s">
        <v>96</v>
      </c>
      <c r="I16" t="s">
        <v>97</v>
      </c>
      <c r="J16" t="s">
        <v>26</v>
      </c>
      <c r="K16" t="s">
        <v>27</v>
      </c>
      <c r="L16" t="s">
        <v>97</v>
      </c>
      <c r="M16" t="s">
        <v>98</v>
      </c>
      <c r="N16" s="2" t="s">
        <v>283</v>
      </c>
      <c r="O16" t="s">
        <v>29</v>
      </c>
      <c r="P16" t="s">
        <v>29</v>
      </c>
      <c r="T16" s="1">
        <v>1</v>
      </c>
      <c r="U16" t="s">
        <v>99</v>
      </c>
      <c r="V16" t="s">
        <v>29</v>
      </c>
      <c r="W16" t="s">
        <v>100</v>
      </c>
      <c r="Y16">
        <v>2606.4</v>
      </c>
      <c r="Z16" t="str">
        <f t="shared" si="0"/>
        <v>OK</v>
      </c>
      <c r="AA16" t="s">
        <v>313</v>
      </c>
      <c r="AC16" t="str">
        <f t="shared" si="1"/>
        <v>0</v>
      </c>
      <c r="AD16" s="5">
        <v>44103</v>
      </c>
      <c r="AE16">
        <f>IF(V16="SUBSECUENTE","No aplica",VLOOKUP(YEAR(AD16),'SALARIO MINIMO'!A1:B100,2,FALSE))</f>
        <v>123.22</v>
      </c>
      <c r="AF16">
        <f>IF(V16="SUBSECUENTE","No aplica",IF(YEAR(AD16)=2016,VLOOKUP(YEAR(AD16),UMA!A1:B100,2,FALSE),IF(MONTH(AD16)=1,VLOOKUP((YEAR(AD16))-1,UMA!A1:B100,2,FALSE),VLOOKUP(YEAR(AD16),UMA!A1:B100,2,FALSE))))</f>
        <v>86.88</v>
      </c>
      <c r="AG16">
        <f t="shared" si="2"/>
        <v>3696.6</v>
      </c>
      <c r="AH16">
        <f t="shared" si="3"/>
        <v>2606.3999999999996</v>
      </c>
      <c r="AI16" t="str">
        <f t="shared" si="4"/>
        <v>OK_UMA</v>
      </c>
      <c r="AJ16" s="2" t="str">
        <f t="shared" si="5"/>
        <v>20201016 13:44:50</v>
      </c>
      <c r="AK16">
        <v>2606.4</v>
      </c>
      <c r="AL16">
        <v>0</v>
      </c>
      <c r="AM16">
        <f t="shared" si="6"/>
        <v>78192</v>
      </c>
      <c r="AN16">
        <f t="shared" si="7"/>
        <v>0</v>
      </c>
      <c r="AO16" t="str">
        <f t="shared" si="8"/>
        <v>Revisar_11.5%</v>
      </c>
      <c r="AP16">
        <v>4575.5155969999996</v>
      </c>
      <c r="AQ16" t="s">
        <v>315</v>
      </c>
      <c r="AR16">
        <v>13.148607</v>
      </c>
      <c r="AS16">
        <f t="shared" si="9"/>
        <v>60161.656407323375</v>
      </c>
      <c r="AT16">
        <f t="shared" si="10"/>
        <v>6918.5904868421885</v>
      </c>
      <c r="AU16" t="str">
        <f t="shared" si="11"/>
        <v>Error Validación 4</v>
      </c>
      <c r="AW16" t="str">
        <f t="shared" si="12"/>
        <v/>
      </c>
      <c r="AY16" t="str">
        <f t="shared" si="13"/>
        <v>Diferencia pagos en curso</v>
      </c>
      <c r="AZ16" t="str">
        <f t="shared" si="14"/>
        <v>No aplica</v>
      </c>
      <c r="BA16" t="str">
        <f t="shared" si="15"/>
        <v>No aplica</v>
      </c>
      <c r="BB16">
        <f t="shared" si="16"/>
        <v>2606.3999999999996</v>
      </c>
      <c r="BC16" t="str">
        <f t="shared" si="17"/>
        <v>Validación correcta</v>
      </c>
      <c r="BD16" t="str">
        <f t="shared" si="18"/>
        <v>Ningún comentario</v>
      </c>
      <c r="BE16" t="s">
        <v>312</v>
      </c>
      <c r="BF16" t="s">
        <v>314</v>
      </c>
    </row>
    <row r="17" spans="1:58" x14ac:dyDescent="0.2">
      <c r="A17" s="1">
        <v>8000250682</v>
      </c>
      <c r="B17" s="1">
        <v>3200650357</v>
      </c>
      <c r="C17" t="s">
        <v>22</v>
      </c>
      <c r="D17" t="s">
        <v>23</v>
      </c>
      <c r="E17" s="2">
        <v>44120.359016199996</v>
      </c>
      <c r="F17">
        <v>15236.7</v>
      </c>
      <c r="G17" s="3">
        <v>0</v>
      </c>
      <c r="H17" t="s">
        <v>101</v>
      </c>
      <c r="I17" t="s">
        <v>102</v>
      </c>
      <c r="J17" t="s">
        <v>26</v>
      </c>
      <c r="K17" t="s">
        <v>27</v>
      </c>
      <c r="L17" t="s">
        <v>102</v>
      </c>
      <c r="M17" t="s">
        <v>61</v>
      </c>
      <c r="N17" s="2" t="s">
        <v>284</v>
      </c>
      <c r="O17" t="s">
        <v>29</v>
      </c>
      <c r="P17" t="s">
        <v>29</v>
      </c>
      <c r="T17" s="1">
        <v>1</v>
      </c>
      <c r="U17" t="s">
        <v>103</v>
      </c>
      <c r="V17" t="s">
        <v>29</v>
      </c>
      <c r="W17" t="s">
        <v>104</v>
      </c>
      <c r="Y17">
        <v>15236.7</v>
      </c>
      <c r="Z17" t="str">
        <f t="shared" si="0"/>
        <v>OK</v>
      </c>
      <c r="AA17" t="s">
        <v>313</v>
      </c>
      <c r="AC17" t="str">
        <f t="shared" si="1"/>
        <v>0</v>
      </c>
      <c r="AD17" s="5">
        <v>44120</v>
      </c>
      <c r="AE17">
        <f>IF(V17="SUBSECUENTE","No aplica",VLOOKUP(YEAR(AD17),'SALARIO MINIMO'!A1:B100,2,FALSE))</f>
        <v>123.22</v>
      </c>
      <c r="AF17">
        <f>IF(V17="SUBSECUENTE","No aplica",IF(YEAR(AD17)=2016,VLOOKUP(YEAR(AD17),UMA!A1:B100,2,FALSE),IF(MONTH(AD17)=1,VLOOKUP((YEAR(AD17))-1,UMA!A1:B100,2,FALSE),VLOOKUP(YEAR(AD17),UMA!A1:B100,2,FALSE))))</f>
        <v>86.88</v>
      </c>
      <c r="AG17">
        <f t="shared" si="2"/>
        <v>36966</v>
      </c>
      <c r="AH17">
        <f t="shared" si="3"/>
        <v>26063.999999999996</v>
      </c>
      <c r="AI17" t="str">
        <f t="shared" si="4"/>
        <v>Error Validacion 1</v>
      </c>
      <c r="AJ17" s="2" t="str">
        <f t="shared" si="5"/>
        <v>20201016 08:28:58</v>
      </c>
      <c r="AK17">
        <v>507.89</v>
      </c>
      <c r="AL17">
        <v>542.49</v>
      </c>
      <c r="AM17">
        <f t="shared" si="6"/>
        <v>15236.699999999999</v>
      </c>
      <c r="AN17">
        <f t="shared" si="7"/>
        <v>48824.1</v>
      </c>
      <c r="AO17" t="str">
        <f t="shared" si="8"/>
        <v>OK_SALA</v>
      </c>
      <c r="AP17">
        <v>9937.8416500000003</v>
      </c>
      <c r="AQ17" t="s">
        <v>317</v>
      </c>
      <c r="AR17">
        <v>13.238638</v>
      </c>
      <c r="AS17">
        <f t="shared" si="9"/>
        <v>131563.4881056727</v>
      </c>
      <c r="AT17" t="str">
        <f t="shared" si="10"/>
        <v>SAL_A</v>
      </c>
      <c r="AU17" t="str">
        <f t="shared" si="11"/>
        <v>SAL_A</v>
      </c>
      <c r="AW17" t="str">
        <f t="shared" si="12"/>
        <v/>
      </c>
      <c r="AY17" t="str">
        <f t="shared" si="13"/>
        <v>Diferencia pagos en curso</v>
      </c>
      <c r="AZ17" t="str">
        <f t="shared" si="14"/>
        <v>No aplica</v>
      </c>
      <c r="BA17" t="str">
        <f t="shared" si="15"/>
        <v>No aplica</v>
      </c>
      <c r="BB17">
        <f t="shared" si="16"/>
        <v>15236.699999999999</v>
      </c>
      <c r="BC17" t="str">
        <f t="shared" si="17"/>
        <v>Validación correcta</v>
      </c>
      <c r="BD17" t="str">
        <f t="shared" si="18"/>
        <v>Ningún comentario</v>
      </c>
      <c r="BE17" t="s">
        <v>312</v>
      </c>
      <c r="BF17" t="s">
        <v>314</v>
      </c>
    </row>
    <row r="18" spans="1:58" x14ac:dyDescent="0.2">
      <c r="A18" s="1">
        <v>8000251327</v>
      </c>
      <c r="B18" s="1">
        <v>3300073568</v>
      </c>
      <c r="C18" t="s">
        <v>32</v>
      </c>
      <c r="D18" t="s">
        <v>33</v>
      </c>
      <c r="E18" s="2">
        <v>44120.604027770001</v>
      </c>
      <c r="F18">
        <v>2606.4</v>
      </c>
      <c r="G18" s="3">
        <v>0</v>
      </c>
      <c r="H18" t="s">
        <v>105</v>
      </c>
      <c r="I18" t="s">
        <v>106</v>
      </c>
      <c r="J18" t="s">
        <v>26</v>
      </c>
      <c r="K18" t="s">
        <v>27</v>
      </c>
      <c r="L18" t="s">
        <v>106</v>
      </c>
      <c r="M18" t="s">
        <v>107</v>
      </c>
      <c r="N18" s="2" t="s">
        <v>285</v>
      </c>
      <c r="O18" t="s">
        <v>29</v>
      </c>
      <c r="P18" t="s">
        <v>29</v>
      </c>
      <c r="T18" s="1">
        <v>1</v>
      </c>
      <c r="U18" t="s">
        <v>108</v>
      </c>
      <c r="V18" t="s">
        <v>29</v>
      </c>
      <c r="W18" t="s">
        <v>109</v>
      </c>
      <c r="Y18">
        <v>2606.4</v>
      </c>
      <c r="Z18" t="str">
        <f t="shared" si="0"/>
        <v>OK</v>
      </c>
      <c r="AA18" t="s">
        <v>313</v>
      </c>
      <c r="AC18" t="str">
        <f t="shared" si="1"/>
        <v>0</v>
      </c>
      <c r="AD18" s="5">
        <v>44119</v>
      </c>
      <c r="AE18">
        <f>IF(V18="SUBSECUENTE","No aplica",VLOOKUP(YEAR(AD18),'SALARIO MINIMO'!A1:B100,2,FALSE))</f>
        <v>123.22</v>
      </c>
      <c r="AF18">
        <f>IF(V18="SUBSECUENTE","No aplica",IF(YEAR(AD18)=2016,VLOOKUP(YEAR(AD18),UMA!A1:B100,2,FALSE),IF(MONTH(AD18)=1,VLOOKUP((YEAR(AD18))-1,UMA!A1:B100,2,FALSE),VLOOKUP(YEAR(AD18),UMA!A1:B100,2,FALSE))))</f>
        <v>86.88</v>
      </c>
      <c r="AG18">
        <f t="shared" si="2"/>
        <v>3696.6</v>
      </c>
      <c r="AH18">
        <f t="shared" si="3"/>
        <v>2606.3999999999996</v>
      </c>
      <c r="AI18" t="str">
        <f t="shared" si="4"/>
        <v>OK_UMA</v>
      </c>
      <c r="AJ18" s="2" t="str">
        <f t="shared" si="5"/>
        <v>20201016 12:47:56</v>
      </c>
      <c r="AK18">
        <v>2606.4</v>
      </c>
      <c r="AL18">
        <v>0</v>
      </c>
      <c r="AM18">
        <f t="shared" si="6"/>
        <v>78192</v>
      </c>
      <c r="AN18">
        <f t="shared" si="7"/>
        <v>0</v>
      </c>
      <c r="AO18" t="str">
        <f t="shared" si="8"/>
        <v>Revisar_11.5%</v>
      </c>
      <c r="AP18">
        <v>2246.9147429999998</v>
      </c>
      <c r="AQ18" t="s">
        <v>315</v>
      </c>
      <c r="AR18">
        <v>13.148607</v>
      </c>
      <c r="AS18">
        <f t="shared" si="9"/>
        <v>29543.798918213</v>
      </c>
      <c r="AT18">
        <f t="shared" si="10"/>
        <v>3397.5368755944951</v>
      </c>
      <c r="AU18" t="str">
        <f t="shared" si="11"/>
        <v>Error Validación 4</v>
      </c>
      <c r="AW18" t="str">
        <f t="shared" si="12"/>
        <v/>
      </c>
      <c r="AY18" t="str">
        <f t="shared" si="13"/>
        <v>Diferencia pagos en curso</v>
      </c>
      <c r="AZ18" t="str">
        <f t="shared" si="14"/>
        <v>No aplica</v>
      </c>
      <c r="BA18" t="str">
        <f t="shared" si="15"/>
        <v>No aplica</v>
      </c>
      <c r="BB18">
        <f t="shared" si="16"/>
        <v>2606.3999999999996</v>
      </c>
      <c r="BC18" t="str">
        <f t="shared" si="17"/>
        <v>Validación correcta</v>
      </c>
      <c r="BD18" t="str">
        <f t="shared" si="18"/>
        <v>Ningún comentario</v>
      </c>
      <c r="BE18" t="s">
        <v>312</v>
      </c>
      <c r="BF18" t="s">
        <v>314</v>
      </c>
    </row>
    <row r="19" spans="1:58" x14ac:dyDescent="0.2">
      <c r="A19" s="1">
        <v>8000251458</v>
      </c>
      <c r="B19" s="1">
        <v>3300448454</v>
      </c>
      <c r="C19" t="s">
        <v>22</v>
      </c>
      <c r="D19" t="s">
        <v>23</v>
      </c>
      <c r="E19" s="2">
        <v>44120.581956009999</v>
      </c>
      <c r="F19">
        <v>26064</v>
      </c>
      <c r="G19" s="3">
        <v>0</v>
      </c>
      <c r="H19" t="s">
        <v>110</v>
      </c>
      <c r="I19" t="s">
        <v>111</v>
      </c>
      <c r="J19" t="s">
        <v>26</v>
      </c>
      <c r="K19" t="s">
        <v>27</v>
      </c>
      <c r="L19" t="s">
        <v>111</v>
      </c>
      <c r="M19" t="s">
        <v>112</v>
      </c>
      <c r="N19" s="2" t="s">
        <v>286</v>
      </c>
      <c r="O19" t="s">
        <v>29</v>
      </c>
      <c r="P19" t="s">
        <v>29</v>
      </c>
      <c r="T19" s="1">
        <v>1</v>
      </c>
      <c r="U19" t="s">
        <v>113</v>
      </c>
      <c r="V19" t="s">
        <v>29</v>
      </c>
      <c r="W19" t="s">
        <v>114</v>
      </c>
      <c r="Y19">
        <v>26064</v>
      </c>
      <c r="Z19" t="str">
        <f t="shared" si="0"/>
        <v>OK</v>
      </c>
      <c r="AA19" t="s">
        <v>313</v>
      </c>
      <c r="AC19" t="str">
        <f t="shared" si="1"/>
        <v>0</v>
      </c>
      <c r="AD19" s="5">
        <v>44120</v>
      </c>
      <c r="AE19">
        <f>IF(V19="SUBSECUENTE","No aplica",VLOOKUP(YEAR(AD19),'SALARIO MINIMO'!A1:B100,2,FALSE))</f>
        <v>123.22</v>
      </c>
      <c r="AF19">
        <f>IF(V19="SUBSECUENTE","No aplica",IF(YEAR(AD19)=2016,VLOOKUP(YEAR(AD19),UMA!A1:B100,2,FALSE),IF(MONTH(AD19)=1,VLOOKUP((YEAR(AD19))-1,UMA!A1:B100,2,FALSE),VLOOKUP(YEAR(AD19),UMA!A1:B100,2,FALSE))))</f>
        <v>86.88</v>
      </c>
      <c r="AG19">
        <f t="shared" si="2"/>
        <v>36966</v>
      </c>
      <c r="AH19">
        <f t="shared" si="3"/>
        <v>26063.999999999996</v>
      </c>
      <c r="AI19" t="str">
        <f t="shared" si="4"/>
        <v>OK_UMA</v>
      </c>
      <c r="AJ19" s="2" t="str">
        <f t="shared" si="5"/>
        <v>20201016 13:50:01</v>
      </c>
      <c r="AK19">
        <v>1008.75</v>
      </c>
      <c r="AL19">
        <v>778.13</v>
      </c>
      <c r="AM19">
        <f t="shared" si="6"/>
        <v>30262.5</v>
      </c>
      <c r="AN19">
        <f t="shared" si="7"/>
        <v>70031.7</v>
      </c>
      <c r="AO19" t="str">
        <f t="shared" si="8"/>
        <v>Revisar_11.5%</v>
      </c>
      <c r="AP19">
        <v>17058.816200000001</v>
      </c>
      <c r="AQ19" t="s">
        <v>320</v>
      </c>
      <c r="AR19">
        <v>10.927196</v>
      </c>
      <c r="AS19">
        <f t="shared" si="9"/>
        <v>186405.02814537522</v>
      </c>
      <c r="AT19">
        <f t="shared" si="10"/>
        <v>21436.578236718153</v>
      </c>
      <c r="AU19" t="str">
        <f t="shared" si="11"/>
        <v>Error Validación 4</v>
      </c>
      <c r="AW19" t="str">
        <f t="shared" si="12"/>
        <v/>
      </c>
      <c r="AY19" t="str">
        <f t="shared" si="13"/>
        <v>Diferencia pagos en curso</v>
      </c>
      <c r="AZ19" t="str">
        <f t="shared" si="14"/>
        <v>No aplica</v>
      </c>
      <c r="BA19" t="str">
        <f t="shared" si="15"/>
        <v>No aplica</v>
      </c>
      <c r="BB19">
        <f t="shared" si="16"/>
        <v>26063.999999999996</v>
      </c>
      <c r="BC19" t="str">
        <f t="shared" si="17"/>
        <v>Validación correcta</v>
      </c>
      <c r="BD19" t="str">
        <f t="shared" si="18"/>
        <v>Ningún comentario</v>
      </c>
      <c r="BE19" t="s">
        <v>312</v>
      </c>
      <c r="BF19" t="s">
        <v>314</v>
      </c>
    </row>
    <row r="20" spans="1:58" x14ac:dyDescent="0.2">
      <c r="A20" s="1">
        <v>8000251523</v>
      </c>
      <c r="B20" s="1">
        <v>3200236954</v>
      </c>
      <c r="C20" t="s">
        <v>22</v>
      </c>
      <c r="D20" t="s">
        <v>23</v>
      </c>
      <c r="E20" s="2">
        <v>44120.598460640002</v>
      </c>
      <c r="F20">
        <v>3261</v>
      </c>
      <c r="G20" s="3">
        <v>0</v>
      </c>
      <c r="H20" t="s">
        <v>115</v>
      </c>
      <c r="I20" t="s">
        <v>116</v>
      </c>
      <c r="J20" t="s">
        <v>26</v>
      </c>
      <c r="K20" t="s">
        <v>27</v>
      </c>
      <c r="L20" t="s">
        <v>116</v>
      </c>
      <c r="M20" t="s">
        <v>117</v>
      </c>
      <c r="N20" s="2" t="s">
        <v>287</v>
      </c>
      <c r="O20" t="s">
        <v>29</v>
      </c>
      <c r="P20" t="s">
        <v>29</v>
      </c>
      <c r="T20" s="1">
        <v>1</v>
      </c>
      <c r="U20" t="s">
        <v>118</v>
      </c>
      <c r="V20" t="s">
        <v>29</v>
      </c>
      <c r="W20" t="s">
        <v>119</v>
      </c>
      <c r="Y20">
        <v>3261</v>
      </c>
      <c r="Z20" t="str">
        <f t="shared" si="0"/>
        <v>OK</v>
      </c>
      <c r="AA20" t="s">
        <v>313</v>
      </c>
      <c r="AC20" t="str">
        <f t="shared" si="1"/>
        <v>0</v>
      </c>
      <c r="AD20" s="5">
        <v>44120</v>
      </c>
      <c r="AE20">
        <f>IF(V20="SUBSECUENTE","No aplica",VLOOKUP(YEAR(AD20),'SALARIO MINIMO'!A1:B100,2,FALSE))</f>
        <v>123.22</v>
      </c>
      <c r="AF20">
        <f>IF(V20="SUBSECUENTE","No aplica",IF(YEAR(AD20)=2016,VLOOKUP(YEAR(AD20),UMA!A1:B100,2,FALSE),IF(MONTH(AD20)=1,VLOOKUP((YEAR(AD20))-1,UMA!A1:B100,2,FALSE),VLOOKUP(YEAR(AD20),UMA!A1:B100,2,FALSE))))</f>
        <v>86.88</v>
      </c>
      <c r="AG20">
        <f t="shared" si="2"/>
        <v>36966</v>
      </c>
      <c r="AH20">
        <f t="shared" si="3"/>
        <v>26063.999999999996</v>
      </c>
      <c r="AI20" t="str">
        <f t="shared" si="4"/>
        <v>Error Validacion 1</v>
      </c>
      <c r="AJ20" s="2" t="str">
        <f t="shared" si="5"/>
        <v>20201016 14:17:47</v>
      </c>
      <c r="AK20">
        <v>108.7</v>
      </c>
      <c r="AL20">
        <v>147.93</v>
      </c>
      <c r="AM20">
        <f t="shared" si="6"/>
        <v>3261</v>
      </c>
      <c r="AN20">
        <f t="shared" si="7"/>
        <v>13313.7</v>
      </c>
      <c r="AO20" t="str">
        <f t="shared" si="8"/>
        <v>OK_SALA</v>
      </c>
      <c r="AP20">
        <v>2038.500953</v>
      </c>
      <c r="AQ20" t="s">
        <v>315</v>
      </c>
      <c r="AR20">
        <v>13.148607</v>
      </c>
      <c r="AS20">
        <f t="shared" si="9"/>
        <v>26803.447900122472</v>
      </c>
      <c r="AT20" t="str">
        <f t="shared" si="10"/>
        <v>SAL_A</v>
      </c>
      <c r="AU20" t="str">
        <f t="shared" si="11"/>
        <v>SAL_A</v>
      </c>
      <c r="AW20" t="str">
        <f t="shared" si="12"/>
        <v/>
      </c>
      <c r="AY20" t="str">
        <f t="shared" si="13"/>
        <v>Diferencia pagos en curso</v>
      </c>
      <c r="AZ20" t="str">
        <f t="shared" si="14"/>
        <v>No aplica</v>
      </c>
      <c r="BA20" t="str">
        <f t="shared" si="15"/>
        <v>No aplica</v>
      </c>
      <c r="BB20">
        <f t="shared" si="16"/>
        <v>3261</v>
      </c>
      <c r="BC20" t="str">
        <f t="shared" si="17"/>
        <v>Validación correcta</v>
      </c>
      <c r="BD20" t="str">
        <f t="shared" si="18"/>
        <v>Ningún comentario</v>
      </c>
      <c r="BE20" t="s">
        <v>312</v>
      </c>
      <c r="BF20" t="s">
        <v>314</v>
      </c>
    </row>
    <row r="21" spans="1:58" x14ac:dyDescent="0.2">
      <c r="A21" s="1">
        <v>8000251299</v>
      </c>
      <c r="B21" s="1">
        <v>1780028798</v>
      </c>
      <c r="C21" t="s">
        <v>22</v>
      </c>
      <c r="D21" t="s">
        <v>23</v>
      </c>
      <c r="E21" s="2">
        <v>44120.53125</v>
      </c>
      <c r="F21">
        <v>20159.400000000001</v>
      </c>
      <c r="G21" s="3">
        <v>0</v>
      </c>
      <c r="H21" t="s">
        <v>120</v>
      </c>
      <c r="I21" t="s">
        <v>121</v>
      </c>
      <c r="J21" t="s">
        <v>26</v>
      </c>
      <c r="K21" t="s">
        <v>27</v>
      </c>
      <c r="L21" t="s">
        <v>121</v>
      </c>
      <c r="M21" t="s">
        <v>122</v>
      </c>
      <c r="N21" s="2" t="s">
        <v>288</v>
      </c>
      <c r="O21" t="s">
        <v>29</v>
      </c>
      <c r="P21" t="s">
        <v>29</v>
      </c>
      <c r="T21" s="1">
        <v>1</v>
      </c>
      <c r="U21" t="s">
        <v>123</v>
      </c>
      <c r="V21" t="s">
        <v>29</v>
      </c>
      <c r="W21" t="s">
        <v>124</v>
      </c>
      <c r="Y21">
        <v>20159.400000000001</v>
      </c>
      <c r="Z21" t="str">
        <f t="shared" si="0"/>
        <v>OK</v>
      </c>
      <c r="AA21" t="s">
        <v>313</v>
      </c>
      <c r="AC21" t="str">
        <f t="shared" si="1"/>
        <v>0</v>
      </c>
      <c r="AD21" s="5">
        <v>44120</v>
      </c>
      <c r="AE21">
        <f>IF(V21="SUBSECUENTE","No aplica",VLOOKUP(YEAR(AD21),'SALARIO MINIMO'!A1:B100,2,FALSE))</f>
        <v>123.22</v>
      </c>
      <c r="AF21">
        <f>IF(V21="SUBSECUENTE","No aplica",IF(YEAR(AD21)=2016,VLOOKUP(YEAR(AD21),UMA!A1:B100,2,FALSE),IF(MONTH(AD21)=1,VLOOKUP((YEAR(AD21))-1,UMA!A1:B100,2,FALSE),VLOOKUP(YEAR(AD21),UMA!A1:B100,2,FALSE))))</f>
        <v>86.88</v>
      </c>
      <c r="AG21">
        <f t="shared" si="2"/>
        <v>36966</v>
      </c>
      <c r="AH21">
        <f t="shared" si="3"/>
        <v>26063.999999999996</v>
      </c>
      <c r="AI21" t="str">
        <f t="shared" si="4"/>
        <v>Error Validacion 1</v>
      </c>
      <c r="AJ21" s="2" t="str">
        <f t="shared" si="5"/>
        <v>20201016 12:41:00</v>
      </c>
      <c r="AK21">
        <v>671.98</v>
      </c>
      <c r="AL21">
        <v>671.47</v>
      </c>
      <c r="AM21">
        <f t="shared" si="6"/>
        <v>20159.400000000001</v>
      </c>
      <c r="AN21">
        <f t="shared" si="7"/>
        <v>60432.3</v>
      </c>
      <c r="AO21" t="str">
        <f t="shared" si="8"/>
        <v>OK_SALA</v>
      </c>
      <c r="AP21">
        <v>11124.57746</v>
      </c>
      <c r="AQ21" t="s">
        <v>321</v>
      </c>
      <c r="AR21">
        <v>11.383122999999999</v>
      </c>
      <c r="AS21">
        <f t="shared" si="9"/>
        <v>126632.43355020758</v>
      </c>
      <c r="AT21" t="str">
        <f t="shared" si="10"/>
        <v>SAL_A</v>
      </c>
      <c r="AU21" t="str">
        <f t="shared" si="11"/>
        <v>SAL_A</v>
      </c>
      <c r="AW21" t="str">
        <f t="shared" si="12"/>
        <v/>
      </c>
      <c r="AY21" t="str">
        <f t="shared" si="13"/>
        <v>Diferencia pagos en curso</v>
      </c>
      <c r="AZ21" t="str">
        <f t="shared" si="14"/>
        <v>No aplica</v>
      </c>
      <c r="BA21" t="str">
        <f t="shared" si="15"/>
        <v>No aplica</v>
      </c>
      <c r="BB21">
        <f t="shared" si="16"/>
        <v>20159.400000000001</v>
      </c>
      <c r="BC21" t="str">
        <f t="shared" si="17"/>
        <v>Validación correcta</v>
      </c>
      <c r="BD21" t="str">
        <f t="shared" si="18"/>
        <v>Ningún comentario</v>
      </c>
      <c r="BE21" t="s">
        <v>312</v>
      </c>
      <c r="BF21" t="s">
        <v>314</v>
      </c>
    </row>
    <row r="22" spans="1:58" x14ac:dyDescent="0.2">
      <c r="A22" s="1">
        <v>8000250722</v>
      </c>
      <c r="B22" s="1">
        <v>3300235904</v>
      </c>
      <c r="C22" t="s">
        <v>32</v>
      </c>
      <c r="D22" t="s">
        <v>33</v>
      </c>
      <c r="E22" s="2">
        <v>44120.539895829999</v>
      </c>
      <c r="F22">
        <v>2534.6999999999998</v>
      </c>
      <c r="G22" s="3">
        <v>0</v>
      </c>
      <c r="H22" t="s">
        <v>125</v>
      </c>
      <c r="I22" t="s">
        <v>126</v>
      </c>
      <c r="J22" t="s">
        <v>26</v>
      </c>
      <c r="K22" t="s">
        <v>27</v>
      </c>
      <c r="L22" t="s">
        <v>126</v>
      </c>
      <c r="M22" t="s">
        <v>71</v>
      </c>
      <c r="N22" s="2" t="s">
        <v>289</v>
      </c>
      <c r="O22" t="s">
        <v>29</v>
      </c>
      <c r="P22" t="s">
        <v>29</v>
      </c>
      <c r="T22" s="1">
        <v>1</v>
      </c>
      <c r="U22" t="s">
        <v>127</v>
      </c>
      <c r="V22" t="s">
        <v>29</v>
      </c>
      <c r="W22" t="s">
        <v>128</v>
      </c>
      <c r="Y22">
        <v>2534.6999999999998</v>
      </c>
      <c r="Z22" t="str">
        <f t="shared" si="0"/>
        <v>OK</v>
      </c>
      <c r="AA22" t="s">
        <v>313</v>
      </c>
      <c r="AC22" t="str">
        <f t="shared" si="1"/>
        <v>0</v>
      </c>
      <c r="AD22" s="5">
        <v>43666</v>
      </c>
      <c r="AE22">
        <f>IF(V22="SUBSECUENTE","No aplica",VLOOKUP(YEAR(AD22),'SALARIO MINIMO'!A1:B100,2,FALSE))</f>
        <v>102.68</v>
      </c>
      <c r="AF22">
        <f>IF(V22="SUBSECUENTE","No aplica",IF(YEAR(AD22)=2016,VLOOKUP(YEAR(AD22),UMA!A1:B100,2,FALSE),IF(MONTH(AD22)=1,VLOOKUP((YEAR(AD22))-1,UMA!A1:B100,2,FALSE),VLOOKUP(YEAR(AD22),UMA!A1:B100,2,FALSE))))</f>
        <v>84.49</v>
      </c>
      <c r="AG22">
        <f t="shared" si="2"/>
        <v>3080.4</v>
      </c>
      <c r="AH22">
        <f t="shared" si="3"/>
        <v>2534.6999999999998</v>
      </c>
      <c r="AI22" t="str">
        <f t="shared" si="4"/>
        <v>OK_UMA</v>
      </c>
      <c r="AJ22" s="2" t="str">
        <f t="shared" si="5"/>
        <v>20201016 09:00:50</v>
      </c>
      <c r="AK22">
        <v>2534.6999999999998</v>
      </c>
      <c r="AL22">
        <v>0</v>
      </c>
      <c r="AM22">
        <f t="shared" si="6"/>
        <v>76041</v>
      </c>
      <c r="AN22">
        <f t="shared" si="7"/>
        <v>0</v>
      </c>
      <c r="AO22" t="str">
        <f t="shared" si="8"/>
        <v>Revisar_11.5%</v>
      </c>
      <c r="AP22">
        <v>4389.1798989999998</v>
      </c>
      <c r="AQ22" t="s">
        <v>317</v>
      </c>
      <c r="AR22">
        <v>13.238638</v>
      </c>
      <c r="AS22">
        <f t="shared" si="9"/>
        <v>58106.763799737557</v>
      </c>
      <c r="AT22">
        <f t="shared" si="10"/>
        <v>6682.277836969819</v>
      </c>
      <c r="AU22" t="str">
        <f t="shared" si="11"/>
        <v>Error Validación 4</v>
      </c>
      <c r="AW22" t="str">
        <f t="shared" si="12"/>
        <v/>
      </c>
      <c r="AY22" t="str">
        <f t="shared" si="13"/>
        <v>Diferencia pagos en curso</v>
      </c>
      <c r="AZ22" t="str">
        <f t="shared" si="14"/>
        <v>No aplica</v>
      </c>
      <c r="BA22" t="str">
        <f t="shared" si="15"/>
        <v>No aplica</v>
      </c>
      <c r="BB22">
        <f t="shared" si="16"/>
        <v>2534.6999999999998</v>
      </c>
      <c r="BC22" t="str">
        <f t="shared" si="17"/>
        <v>Validación correcta</v>
      </c>
      <c r="BD22" t="str">
        <f t="shared" si="18"/>
        <v>Ningún comentario</v>
      </c>
      <c r="BE22" t="s">
        <v>312</v>
      </c>
      <c r="BF22" t="s">
        <v>314</v>
      </c>
    </row>
    <row r="23" spans="1:58" x14ac:dyDescent="0.2">
      <c r="A23" s="1">
        <v>8000251132</v>
      </c>
      <c r="B23" s="1">
        <v>3300238096</v>
      </c>
      <c r="C23" t="s">
        <v>32</v>
      </c>
      <c r="D23" t="s">
        <v>33</v>
      </c>
      <c r="E23" s="2">
        <v>44120.497002310003</v>
      </c>
      <c r="F23">
        <v>2606.4</v>
      </c>
      <c r="G23" s="3">
        <v>0</v>
      </c>
      <c r="H23" t="s">
        <v>129</v>
      </c>
      <c r="I23" t="s">
        <v>130</v>
      </c>
      <c r="J23" t="s">
        <v>26</v>
      </c>
      <c r="K23" t="s">
        <v>27</v>
      </c>
      <c r="L23" t="s">
        <v>130</v>
      </c>
      <c r="M23" t="s">
        <v>46</v>
      </c>
      <c r="N23" s="2" t="s">
        <v>290</v>
      </c>
      <c r="O23" t="s">
        <v>29</v>
      </c>
      <c r="P23" t="s">
        <v>29</v>
      </c>
      <c r="T23" s="1">
        <v>1</v>
      </c>
      <c r="U23" t="s">
        <v>131</v>
      </c>
      <c r="V23" t="s">
        <v>29</v>
      </c>
      <c r="W23" t="s">
        <v>132</v>
      </c>
      <c r="Y23">
        <v>2606.4</v>
      </c>
      <c r="Z23" t="str">
        <f t="shared" si="0"/>
        <v>OK</v>
      </c>
      <c r="AA23" t="s">
        <v>313</v>
      </c>
      <c r="AC23" t="str">
        <f t="shared" si="1"/>
        <v>0</v>
      </c>
      <c r="AD23" s="5">
        <v>44117</v>
      </c>
      <c r="AE23">
        <f>IF(V23="SUBSECUENTE","No aplica",VLOOKUP(YEAR(AD23),'SALARIO MINIMO'!A1:B100,2,FALSE))</f>
        <v>123.22</v>
      </c>
      <c r="AF23">
        <f>IF(V23="SUBSECUENTE","No aplica",IF(YEAR(AD23)=2016,VLOOKUP(YEAR(AD23),UMA!A1:B100,2,FALSE),IF(MONTH(AD23)=1,VLOOKUP((YEAR(AD23))-1,UMA!A1:B100,2,FALSE),VLOOKUP(YEAR(AD23),UMA!A1:B100,2,FALSE))))</f>
        <v>86.88</v>
      </c>
      <c r="AG23">
        <f t="shared" si="2"/>
        <v>3696.6</v>
      </c>
      <c r="AH23">
        <f t="shared" si="3"/>
        <v>2606.3999999999996</v>
      </c>
      <c r="AI23" t="str">
        <f t="shared" si="4"/>
        <v>OK_UMA</v>
      </c>
      <c r="AJ23" s="2" t="str">
        <f t="shared" si="5"/>
        <v>20201016 11:41:23</v>
      </c>
      <c r="AK23">
        <v>2606.4</v>
      </c>
      <c r="AL23">
        <v>0</v>
      </c>
      <c r="AM23">
        <f t="shared" si="6"/>
        <v>78192</v>
      </c>
      <c r="AN23">
        <f t="shared" si="7"/>
        <v>0</v>
      </c>
      <c r="AO23" t="str">
        <f t="shared" si="8"/>
        <v>Revisar_11.5%</v>
      </c>
      <c r="AP23">
        <v>1401.464105</v>
      </c>
      <c r="AQ23" t="s">
        <v>316</v>
      </c>
      <c r="AR23">
        <v>13.153222</v>
      </c>
      <c r="AS23">
        <f t="shared" si="9"/>
        <v>18433.768498096309</v>
      </c>
      <c r="AT23">
        <f t="shared" si="10"/>
        <v>2119.8833772810758</v>
      </c>
      <c r="AU23" t="str">
        <f t="shared" si="11"/>
        <v>Error Validación 4</v>
      </c>
      <c r="AW23" t="str">
        <f t="shared" si="12"/>
        <v/>
      </c>
      <c r="AY23" t="str">
        <f t="shared" si="13"/>
        <v>Diferencia pagos en curso</v>
      </c>
      <c r="AZ23" t="str">
        <f t="shared" si="14"/>
        <v>No aplica</v>
      </c>
      <c r="BA23" t="str">
        <f t="shared" si="15"/>
        <v>No aplica</v>
      </c>
      <c r="BB23">
        <f t="shared" si="16"/>
        <v>2606.3999999999996</v>
      </c>
      <c r="BC23" t="str">
        <f t="shared" si="17"/>
        <v>Validación correcta</v>
      </c>
      <c r="BD23" t="str">
        <f t="shared" si="18"/>
        <v>Ningún comentario</v>
      </c>
      <c r="BE23" t="s">
        <v>312</v>
      </c>
      <c r="BF23" t="s">
        <v>314</v>
      </c>
    </row>
    <row r="24" spans="1:58" x14ac:dyDescent="0.2">
      <c r="A24" s="1">
        <v>8000251210</v>
      </c>
      <c r="B24" s="1">
        <v>3300377708</v>
      </c>
      <c r="C24" t="s">
        <v>22</v>
      </c>
      <c r="D24" t="s">
        <v>23</v>
      </c>
      <c r="E24" s="2">
        <v>44120.520069439997</v>
      </c>
      <c r="F24">
        <v>14642.7</v>
      </c>
      <c r="G24" s="3">
        <v>0</v>
      </c>
      <c r="H24" t="s">
        <v>133</v>
      </c>
      <c r="I24" t="s">
        <v>134</v>
      </c>
      <c r="J24" t="s">
        <v>26</v>
      </c>
      <c r="K24" t="s">
        <v>27</v>
      </c>
      <c r="L24" t="s">
        <v>134</v>
      </c>
      <c r="M24" t="s">
        <v>71</v>
      </c>
      <c r="N24" s="2" t="s">
        <v>291</v>
      </c>
      <c r="O24" t="s">
        <v>29</v>
      </c>
      <c r="P24" t="s">
        <v>29</v>
      </c>
      <c r="T24" s="1">
        <v>1</v>
      </c>
      <c r="U24" t="s">
        <v>135</v>
      </c>
      <c r="V24" t="s">
        <v>29</v>
      </c>
      <c r="W24" t="s">
        <v>136</v>
      </c>
      <c r="Y24">
        <v>14642.7</v>
      </c>
      <c r="Z24" t="str">
        <f t="shared" si="0"/>
        <v>OK</v>
      </c>
      <c r="AA24" t="s">
        <v>313</v>
      </c>
      <c r="AC24" t="str">
        <f t="shared" si="1"/>
        <v>0</v>
      </c>
      <c r="AD24" s="5">
        <v>44120</v>
      </c>
      <c r="AE24">
        <f>IF(V24="SUBSECUENTE","No aplica",VLOOKUP(YEAR(AD24),'SALARIO MINIMO'!A1:B100,2,FALSE))</f>
        <v>123.22</v>
      </c>
      <c r="AF24">
        <f>IF(V24="SUBSECUENTE","No aplica",IF(YEAR(AD24)=2016,VLOOKUP(YEAR(AD24),UMA!A1:B100,2,FALSE),IF(MONTH(AD24)=1,VLOOKUP((YEAR(AD24))-1,UMA!A1:B100,2,FALSE),VLOOKUP(YEAR(AD24),UMA!A1:B100,2,FALSE))))</f>
        <v>86.88</v>
      </c>
      <c r="AG24">
        <f t="shared" si="2"/>
        <v>36966</v>
      </c>
      <c r="AH24">
        <f t="shared" si="3"/>
        <v>26063.999999999996</v>
      </c>
      <c r="AI24" t="str">
        <f t="shared" si="4"/>
        <v>Error Validacion 1</v>
      </c>
      <c r="AJ24" s="2" t="str">
        <f t="shared" si="5"/>
        <v>20201016 12:16:54</v>
      </c>
      <c r="AK24">
        <v>488.09</v>
      </c>
      <c r="AL24">
        <v>358.61</v>
      </c>
      <c r="AM24">
        <f t="shared" si="6"/>
        <v>14642.699999999999</v>
      </c>
      <c r="AN24">
        <f t="shared" si="7"/>
        <v>32274.9</v>
      </c>
      <c r="AO24" t="str">
        <f t="shared" si="8"/>
        <v>OK_SALA</v>
      </c>
      <c r="AP24">
        <v>9343.387616</v>
      </c>
      <c r="AQ24" t="s">
        <v>317</v>
      </c>
      <c r="AR24">
        <v>13.238638</v>
      </c>
      <c r="AS24">
        <f t="shared" si="9"/>
        <v>123693.72634190701</v>
      </c>
      <c r="AT24" t="str">
        <f t="shared" si="10"/>
        <v>SAL_A</v>
      </c>
      <c r="AU24" t="str">
        <f t="shared" si="11"/>
        <v>SAL_A</v>
      </c>
      <c r="AW24" t="str">
        <f t="shared" si="12"/>
        <v/>
      </c>
      <c r="AY24" t="str">
        <f t="shared" si="13"/>
        <v>Diferencia pagos en curso</v>
      </c>
      <c r="AZ24" t="str">
        <f t="shared" si="14"/>
        <v>No aplica</v>
      </c>
      <c r="BA24" t="str">
        <f t="shared" si="15"/>
        <v>No aplica</v>
      </c>
      <c r="BB24">
        <f t="shared" si="16"/>
        <v>14642.699999999999</v>
      </c>
      <c r="BC24" t="str">
        <f t="shared" si="17"/>
        <v>Validación correcta</v>
      </c>
      <c r="BD24" t="str">
        <f t="shared" si="18"/>
        <v>Ningún comentario</v>
      </c>
      <c r="BE24" t="s">
        <v>312</v>
      </c>
      <c r="BF24" t="s">
        <v>314</v>
      </c>
    </row>
    <row r="25" spans="1:58" x14ac:dyDescent="0.2">
      <c r="A25" s="1">
        <v>8000250614</v>
      </c>
      <c r="B25" s="1">
        <v>3200116199</v>
      </c>
      <c r="C25" t="s">
        <v>22</v>
      </c>
      <c r="D25" t="s">
        <v>23</v>
      </c>
      <c r="E25" s="2">
        <v>44120.348900459998</v>
      </c>
      <c r="F25">
        <v>49719.77</v>
      </c>
      <c r="G25" s="3">
        <v>0</v>
      </c>
      <c r="H25" t="s">
        <v>137</v>
      </c>
      <c r="I25" t="s">
        <v>138</v>
      </c>
      <c r="J25" t="s">
        <v>26</v>
      </c>
      <c r="K25" t="s">
        <v>27</v>
      </c>
      <c r="L25" t="s">
        <v>138</v>
      </c>
      <c r="M25" t="s">
        <v>139</v>
      </c>
      <c r="N25" s="2" t="s">
        <v>292</v>
      </c>
      <c r="O25" t="s">
        <v>29</v>
      </c>
      <c r="P25" t="s">
        <v>29</v>
      </c>
      <c r="T25" s="1">
        <v>1</v>
      </c>
      <c r="U25" t="s">
        <v>140</v>
      </c>
      <c r="V25" t="s">
        <v>29</v>
      </c>
      <c r="W25" t="s">
        <v>141</v>
      </c>
      <c r="Y25">
        <v>49719.77</v>
      </c>
      <c r="Z25" t="str">
        <f t="shared" si="0"/>
        <v>OK</v>
      </c>
      <c r="AA25" t="s">
        <v>313</v>
      </c>
      <c r="AC25" t="str">
        <f t="shared" si="1"/>
        <v>0</v>
      </c>
      <c r="AD25" s="5">
        <v>44120</v>
      </c>
      <c r="AE25">
        <f>IF(V25="SUBSECUENTE","No aplica",VLOOKUP(YEAR(AD25),'SALARIO MINIMO'!A1:B100,2,FALSE))</f>
        <v>123.22</v>
      </c>
      <c r="AF25">
        <f>IF(V25="SUBSECUENTE","No aplica",IF(YEAR(AD25)=2016,VLOOKUP(YEAR(AD25),UMA!A1:B100,2,FALSE),IF(MONTH(AD25)=1,VLOOKUP((YEAR(AD25))-1,UMA!A1:B100,2,FALSE),VLOOKUP(YEAR(AD25),UMA!A1:B100,2,FALSE))))</f>
        <v>86.88</v>
      </c>
      <c r="AG25">
        <f t="shared" si="2"/>
        <v>36966</v>
      </c>
      <c r="AH25">
        <f t="shared" si="3"/>
        <v>26063.999999999996</v>
      </c>
      <c r="AI25" t="str">
        <f t="shared" si="4"/>
        <v>Error Validacion 1</v>
      </c>
      <c r="AJ25" s="2" t="str">
        <f t="shared" si="5"/>
        <v>20201016 08:10:25</v>
      </c>
      <c r="AK25">
        <v>1881.37</v>
      </c>
      <c r="AL25">
        <v>721.13</v>
      </c>
      <c r="AM25">
        <f t="shared" si="6"/>
        <v>56441.1</v>
      </c>
      <c r="AN25">
        <f t="shared" si="7"/>
        <v>64901.7</v>
      </c>
      <c r="AO25" t="str">
        <f t="shared" si="8"/>
        <v>Revisar_11.5%</v>
      </c>
      <c r="AP25">
        <v>39566.037380000002</v>
      </c>
      <c r="AQ25" t="s">
        <v>320</v>
      </c>
      <c r="AR25">
        <v>10.927196</v>
      </c>
      <c r="AS25">
        <f t="shared" si="9"/>
        <v>432345.8453945865</v>
      </c>
      <c r="AT25">
        <f t="shared" si="10"/>
        <v>49719.772220377447</v>
      </c>
      <c r="AU25" t="str">
        <f t="shared" si="11"/>
        <v>OK_11.5%</v>
      </c>
      <c r="AW25" t="str">
        <f t="shared" si="12"/>
        <v/>
      </c>
      <c r="AY25" t="str">
        <f t="shared" si="13"/>
        <v>Diferencia pagos en curso</v>
      </c>
      <c r="AZ25" t="str">
        <f t="shared" si="14"/>
        <v>No aplica</v>
      </c>
      <c r="BA25" t="str">
        <f t="shared" si="15"/>
        <v>No aplica</v>
      </c>
      <c r="BB25">
        <f t="shared" si="16"/>
        <v>49719.772220377447</v>
      </c>
      <c r="BC25" t="str">
        <f t="shared" si="17"/>
        <v>Validación correcta</v>
      </c>
      <c r="BD25" t="str">
        <f t="shared" si="18"/>
        <v>Ningún comentario</v>
      </c>
      <c r="BE25" t="s">
        <v>312</v>
      </c>
      <c r="BF25" t="s">
        <v>314</v>
      </c>
    </row>
    <row r="26" spans="1:58" x14ac:dyDescent="0.2">
      <c r="A26" s="1">
        <v>8000251553</v>
      </c>
      <c r="B26" s="4" t="s">
        <v>264</v>
      </c>
      <c r="C26" t="s">
        <v>22</v>
      </c>
      <c r="D26" t="s">
        <v>23</v>
      </c>
      <c r="E26" s="2">
        <v>44120.64038194</v>
      </c>
      <c r="F26">
        <v>31314.02</v>
      </c>
      <c r="G26" s="3">
        <v>0</v>
      </c>
      <c r="H26" t="s">
        <v>142</v>
      </c>
      <c r="I26" t="s">
        <v>143</v>
      </c>
      <c r="J26" t="s">
        <v>26</v>
      </c>
      <c r="K26" t="s">
        <v>27</v>
      </c>
      <c r="L26" t="s">
        <v>143</v>
      </c>
      <c r="M26" t="s">
        <v>66</v>
      </c>
      <c r="N26" s="2" t="s">
        <v>293</v>
      </c>
      <c r="O26" t="s">
        <v>29</v>
      </c>
      <c r="P26" t="s">
        <v>29</v>
      </c>
      <c r="T26" s="1">
        <v>1</v>
      </c>
      <c r="U26" t="s">
        <v>144</v>
      </c>
      <c r="V26" t="s">
        <v>29</v>
      </c>
      <c r="W26" t="s">
        <v>145</v>
      </c>
      <c r="Y26">
        <v>31314.02</v>
      </c>
      <c r="Z26" t="str">
        <f t="shared" si="0"/>
        <v>OK</v>
      </c>
      <c r="AA26" t="s">
        <v>313</v>
      </c>
      <c r="AC26" t="str">
        <f t="shared" si="1"/>
        <v>0</v>
      </c>
      <c r="AD26" s="5">
        <v>44120</v>
      </c>
      <c r="AE26">
        <f>IF(V26="SUBSECUENTE","No aplica",VLOOKUP(YEAR(AD26),'SALARIO MINIMO'!A1:B100,2,FALSE))</f>
        <v>123.22</v>
      </c>
      <c r="AF26">
        <f>IF(V26="SUBSECUENTE","No aplica",IF(YEAR(AD26)=2016,VLOOKUP(YEAR(AD26),UMA!A1:B100,2,FALSE),IF(MONTH(AD26)=1,VLOOKUP((YEAR(AD26))-1,UMA!A1:B100,2,FALSE),VLOOKUP(YEAR(AD26),UMA!A1:B100,2,FALSE))))</f>
        <v>86.88</v>
      </c>
      <c r="AG26">
        <f t="shared" si="2"/>
        <v>36966</v>
      </c>
      <c r="AH26">
        <f t="shared" si="3"/>
        <v>26063.999999999996</v>
      </c>
      <c r="AI26" t="str">
        <f t="shared" si="4"/>
        <v>Error Validacion 1</v>
      </c>
      <c r="AJ26" s="2" t="str">
        <f t="shared" si="5"/>
        <v>20201016 15:18:09</v>
      </c>
      <c r="AK26">
        <v>1050.81</v>
      </c>
      <c r="AL26">
        <v>1058.8900000000001</v>
      </c>
      <c r="AM26">
        <f t="shared" si="6"/>
        <v>31524.3</v>
      </c>
      <c r="AN26">
        <f t="shared" si="7"/>
        <v>95300.1</v>
      </c>
      <c r="AO26" t="str">
        <f t="shared" si="8"/>
        <v>Revisar_11.5%</v>
      </c>
      <c r="AP26">
        <v>20568.262760000001</v>
      </c>
      <c r="AQ26" t="s">
        <v>317</v>
      </c>
      <c r="AR26">
        <v>13.238638</v>
      </c>
      <c r="AS26">
        <f t="shared" si="9"/>
        <v>272295.78496852092</v>
      </c>
      <c r="AT26">
        <f t="shared" si="10"/>
        <v>31314.015271379907</v>
      </c>
      <c r="AU26" t="str">
        <f t="shared" si="11"/>
        <v>OK_11.5%</v>
      </c>
      <c r="AW26" t="str">
        <f t="shared" si="12"/>
        <v/>
      </c>
      <c r="AY26" t="str">
        <f t="shared" si="13"/>
        <v>Diferencia pagos en curso</v>
      </c>
      <c r="AZ26" t="str">
        <f t="shared" si="14"/>
        <v>No aplica</v>
      </c>
      <c r="BA26" t="str">
        <f t="shared" si="15"/>
        <v>No aplica</v>
      </c>
      <c r="BB26">
        <f t="shared" si="16"/>
        <v>31314.015271379907</v>
      </c>
      <c r="BC26" t="str">
        <f t="shared" si="17"/>
        <v>Validación correcta</v>
      </c>
      <c r="BD26" t="str">
        <f t="shared" si="18"/>
        <v>Ningún comentario</v>
      </c>
      <c r="BE26" t="s">
        <v>312</v>
      </c>
      <c r="BF26" t="s">
        <v>314</v>
      </c>
    </row>
    <row r="27" spans="1:58" x14ac:dyDescent="0.2">
      <c r="A27" s="1">
        <v>8000251180</v>
      </c>
      <c r="B27" s="1">
        <v>3300035959</v>
      </c>
      <c r="C27" t="s">
        <v>22</v>
      </c>
      <c r="D27" t="s">
        <v>23</v>
      </c>
      <c r="E27" s="2">
        <v>44120.505937499998</v>
      </c>
      <c r="F27">
        <v>12030.9</v>
      </c>
      <c r="G27" s="3">
        <v>0</v>
      </c>
      <c r="H27" t="s">
        <v>146</v>
      </c>
      <c r="I27" t="s">
        <v>147</v>
      </c>
      <c r="J27" t="s">
        <v>26</v>
      </c>
      <c r="K27" t="s">
        <v>27</v>
      </c>
      <c r="L27" t="s">
        <v>147</v>
      </c>
      <c r="M27" t="s">
        <v>61</v>
      </c>
      <c r="N27" s="2" t="s">
        <v>294</v>
      </c>
      <c r="O27" t="s">
        <v>29</v>
      </c>
      <c r="P27" t="s">
        <v>29</v>
      </c>
      <c r="T27" s="1">
        <v>1</v>
      </c>
      <c r="U27" t="s">
        <v>148</v>
      </c>
      <c r="V27" t="s">
        <v>29</v>
      </c>
      <c r="W27" t="s">
        <v>149</v>
      </c>
      <c r="Y27">
        <v>12030.9</v>
      </c>
      <c r="Z27" t="str">
        <f t="shared" si="0"/>
        <v>OK</v>
      </c>
      <c r="AA27" t="s">
        <v>313</v>
      </c>
      <c r="AC27" t="str">
        <f t="shared" si="1"/>
        <v>0</v>
      </c>
      <c r="AD27" s="5">
        <v>44120</v>
      </c>
      <c r="AE27">
        <f>IF(V27="SUBSECUENTE","No aplica",VLOOKUP(YEAR(AD27),'SALARIO MINIMO'!A1:B100,2,FALSE))</f>
        <v>123.22</v>
      </c>
      <c r="AF27">
        <f>IF(V27="SUBSECUENTE","No aplica",IF(YEAR(AD27)=2016,VLOOKUP(YEAR(AD27),UMA!A1:B100,2,FALSE),IF(MONTH(AD27)=1,VLOOKUP((YEAR(AD27))-1,UMA!A1:B100,2,FALSE),VLOOKUP(YEAR(AD27),UMA!A1:B100,2,FALSE))))</f>
        <v>86.88</v>
      </c>
      <c r="AG27">
        <f t="shared" si="2"/>
        <v>36966</v>
      </c>
      <c r="AH27">
        <f t="shared" si="3"/>
        <v>26063.999999999996</v>
      </c>
      <c r="AI27" t="str">
        <f t="shared" si="4"/>
        <v>Error Validacion 1</v>
      </c>
      <c r="AJ27" s="2" t="str">
        <f t="shared" si="5"/>
        <v>20201016 12:00:33</v>
      </c>
      <c r="AK27">
        <v>401.03</v>
      </c>
      <c r="AL27">
        <v>243.7</v>
      </c>
      <c r="AM27">
        <f t="shared" si="6"/>
        <v>12030.9</v>
      </c>
      <c r="AN27">
        <f t="shared" si="7"/>
        <v>21933</v>
      </c>
      <c r="AO27" t="str">
        <f t="shared" si="8"/>
        <v>OK_SALA</v>
      </c>
      <c r="AP27">
        <v>2281.3948949999999</v>
      </c>
      <c r="AQ27" t="s">
        <v>315</v>
      </c>
      <c r="AR27">
        <v>13.148607</v>
      </c>
      <c r="AS27">
        <f t="shared" si="9"/>
        <v>29997.164886161263</v>
      </c>
      <c r="AT27" t="str">
        <f t="shared" si="10"/>
        <v>SAL_A</v>
      </c>
      <c r="AU27" t="str">
        <f t="shared" si="11"/>
        <v>SAL_A</v>
      </c>
      <c r="AW27" t="str">
        <f t="shared" si="12"/>
        <v/>
      </c>
      <c r="AY27" t="str">
        <f t="shared" si="13"/>
        <v>Diferencia pagos en curso</v>
      </c>
      <c r="AZ27" t="str">
        <f t="shared" si="14"/>
        <v>No aplica</v>
      </c>
      <c r="BA27" t="str">
        <f t="shared" si="15"/>
        <v>No aplica</v>
      </c>
      <c r="BB27">
        <f t="shared" si="16"/>
        <v>12030.9</v>
      </c>
      <c r="BC27" t="str">
        <f t="shared" si="17"/>
        <v>Validación correcta</v>
      </c>
      <c r="BD27" t="str">
        <f t="shared" si="18"/>
        <v>Ningún comentario</v>
      </c>
      <c r="BE27" t="s">
        <v>312</v>
      </c>
      <c r="BF27" t="s">
        <v>314</v>
      </c>
    </row>
    <row r="28" spans="1:58" x14ac:dyDescent="0.2">
      <c r="A28" s="1">
        <v>8000251212</v>
      </c>
      <c r="B28" s="1">
        <v>3300118829</v>
      </c>
      <c r="C28" t="s">
        <v>22</v>
      </c>
      <c r="D28" t="s">
        <v>23</v>
      </c>
      <c r="E28" s="2">
        <v>44120.520509249996</v>
      </c>
      <c r="F28">
        <v>5180.3999999999996</v>
      </c>
      <c r="G28" s="3">
        <v>0</v>
      </c>
      <c r="H28" t="s">
        <v>150</v>
      </c>
      <c r="I28" t="s">
        <v>151</v>
      </c>
      <c r="J28" t="s">
        <v>26</v>
      </c>
      <c r="K28" t="s">
        <v>27</v>
      </c>
      <c r="L28" t="s">
        <v>151</v>
      </c>
      <c r="M28" t="s">
        <v>71</v>
      </c>
      <c r="N28" s="2" t="s">
        <v>295</v>
      </c>
      <c r="O28" t="s">
        <v>29</v>
      </c>
      <c r="P28" t="s">
        <v>29</v>
      </c>
      <c r="T28" s="1">
        <v>1</v>
      </c>
      <c r="U28" t="s">
        <v>152</v>
      </c>
      <c r="V28" t="s">
        <v>29</v>
      </c>
      <c r="W28" t="s">
        <v>153</v>
      </c>
      <c r="Y28">
        <v>5180.3999999999996</v>
      </c>
      <c r="Z28" t="str">
        <f t="shared" si="0"/>
        <v>OK</v>
      </c>
      <c r="AA28" t="s">
        <v>313</v>
      </c>
      <c r="AC28" t="str">
        <f t="shared" si="1"/>
        <v>0</v>
      </c>
      <c r="AD28" s="5">
        <v>44119</v>
      </c>
      <c r="AE28">
        <f>IF(V28="SUBSECUENTE","No aplica",VLOOKUP(YEAR(AD28),'SALARIO MINIMO'!A1:B100,2,FALSE))</f>
        <v>123.22</v>
      </c>
      <c r="AF28">
        <f>IF(V28="SUBSECUENTE","No aplica",IF(YEAR(AD28)=2016,VLOOKUP(YEAR(AD28),UMA!A1:B100,2,FALSE),IF(MONTH(AD28)=1,VLOOKUP((YEAR(AD28))-1,UMA!A1:B100,2,FALSE),VLOOKUP(YEAR(AD28),UMA!A1:B100,2,FALSE))))</f>
        <v>86.88</v>
      </c>
      <c r="AG28">
        <f t="shared" si="2"/>
        <v>36966</v>
      </c>
      <c r="AH28">
        <f t="shared" si="3"/>
        <v>26063.999999999996</v>
      </c>
      <c r="AI28" t="str">
        <f t="shared" si="4"/>
        <v>Error Validacion 1</v>
      </c>
      <c r="AJ28" s="2" t="str">
        <f t="shared" si="5"/>
        <v>20201016 12:17:31</v>
      </c>
      <c r="AK28">
        <v>172.68</v>
      </c>
      <c r="AL28">
        <v>146.88</v>
      </c>
      <c r="AM28">
        <f t="shared" si="6"/>
        <v>5180.4000000000005</v>
      </c>
      <c r="AN28">
        <f t="shared" si="7"/>
        <v>13219.199999999999</v>
      </c>
      <c r="AO28" t="str">
        <f t="shared" si="8"/>
        <v>OK_SALA</v>
      </c>
      <c r="AP28">
        <v>2989.454315</v>
      </c>
      <c r="AQ28" t="s">
        <v>319</v>
      </c>
      <c r="AR28">
        <v>12.091010000000001</v>
      </c>
      <c r="AS28">
        <f t="shared" si="9"/>
        <v>36145.522017208154</v>
      </c>
      <c r="AT28" t="str">
        <f t="shared" si="10"/>
        <v>SAL_A</v>
      </c>
      <c r="AU28" t="str">
        <f t="shared" si="11"/>
        <v>SAL_A</v>
      </c>
      <c r="AW28" t="str">
        <f t="shared" si="12"/>
        <v/>
      </c>
      <c r="AY28" t="str">
        <f t="shared" si="13"/>
        <v>Diferencia pagos en curso</v>
      </c>
      <c r="AZ28" t="str">
        <f t="shared" si="14"/>
        <v>No aplica</v>
      </c>
      <c r="BA28" t="str">
        <f t="shared" si="15"/>
        <v>No aplica</v>
      </c>
      <c r="BB28">
        <f t="shared" si="16"/>
        <v>5180.4000000000005</v>
      </c>
      <c r="BC28" t="str">
        <f t="shared" si="17"/>
        <v>Validación correcta</v>
      </c>
      <c r="BD28" t="str">
        <f t="shared" si="18"/>
        <v>Ningún comentario</v>
      </c>
      <c r="BE28" t="s">
        <v>312</v>
      </c>
      <c r="BF28" t="s">
        <v>314</v>
      </c>
    </row>
    <row r="29" spans="1:58" x14ac:dyDescent="0.2">
      <c r="A29" s="1">
        <v>8000250672</v>
      </c>
      <c r="B29" s="1">
        <v>3200741191</v>
      </c>
      <c r="C29" t="s">
        <v>32</v>
      </c>
      <c r="D29" t="s">
        <v>33</v>
      </c>
      <c r="E29" s="2">
        <v>44120.496458330002</v>
      </c>
      <c r="F29">
        <v>1033.5</v>
      </c>
      <c r="G29" s="3">
        <v>0</v>
      </c>
      <c r="H29" t="s">
        <v>154</v>
      </c>
      <c r="I29" t="s">
        <v>155</v>
      </c>
      <c r="J29" t="s">
        <v>26</v>
      </c>
      <c r="K29" t="s">
        <v>27</v>
      </c>
      <c r="L29" t="s">
        <v>155</v>
      </c>
      <c r="M29" t="s">
        <v>112</v>
      </c>
      <c r="N29" s="2" t="s">
        <v>296</v>
      </c>
      <c r="O29" t="s">
        <v>29</v>
      </c>
      <c r="P29" t="s">
        <v>29</v>
      </c>
      <c r="T29" s="1">
        <v>1</v>
      </c>
      <c r="U29" t="s">
        <v>156</v>
      </c>
      <c r="V29" t="s">
        <v>29</v>
      </c>
      <c r="W29" t="s">
        <v>157</v>
      </c>
      <c r="Y29">
        <v>1033.5</v>
      </c>
      <c r="Z29" t="str">
        <f t="shared" si="0"/>
        <v>OK</v>
      </c>
      <c r="AA29" t="s">
        <v>313</v>
      </c>
      <c r="AC29" t="str">
        <f t="shared" si="1"/>
        <v>0</v>
      </c>
      <c r="AD29" s="5">
        <v>36421</v>
      </c>
      <c r="AE29">
        <f>IF(V29="SUBSECUENTE","No aplica",VLOOKUP(YEAR(AD29),'SALARIO MINIMO'!A1:B100,2,FALSE))</f>
        <v>34.450000000000003</v>
      </c>
      <c r="AF29" t="e">
        <f>IF(V29="SUBSECUENTE","No aplica",IF(YEAR(AD29)=2016,VLOOKUP(YEAR(AD29),UMA!A1:B100,2,FALSE),IF(MONTH(AD29)=1,VLOOKUP((YEAR(AD29))-1,UMA!A1:B100,2,FALSE),VLOOKUP(YEAR(AD29),UMA!A1:B100,2,FALSE))))</f>
        <v>#N/A</v>
      </c>
      <c r="AG29">
        <f t="shared" si="2"/>
        <v>1033.5</v>
      </c>
      <c r="AH29" t="e">
        <f t="shared" si="3"/>
        <v>#N/A</v>
      </c>
      <c r="AI29" t="str">
        <f t="shared" si="4"/>
        <v>OK_SM</v>
      </c>
      <c r="AJ29" s="2" t="str">
        <f t="shared" si="5"/>
        <v>20201016 08:47:36</v>
      </c>
      <c r="AK29">
        <v>1033.5</v>
      </c>
      <c r="AL29">
        <v>0</v>
      </c>
      <c r="AM29">
        <f t="shared" si="6"/>
        <v>31005</v>
      </c>
      <c r="AN29">
        <f t="shared" si="7"/>
        <v>0</v>
      </c>
      <c r="AO29" t="str">
        <f t="shared" si="8"/>
        <v>Revisar_11.5%</v>
      </c>
      <c r="AP29">
        <v>17831.61724</v>
      </c>
      <c r="AQ29" t="s">
        <v>319</v>
      </c>
      <c r="AR29">
        <v>12.091010000000001</v>
      </c>
      <c r="AS29">
        <f t="shared" si="9"/>
        <v>215602.2623650124</v>
      </c>
      <c r="AT29">
        <f t="shared" si="10"/>
        <v>24794.260171976428</v>
      </c>
      <c r="AU29" t="str">
        <f t="shared" si="11"/>
        <v>Error Validación 4</v>
      </c>
      <c r="AW29" t="str">
        <f t="shared" si="12"/>
        <v/>
      </c>
      <c r="AY29" t="str">
        <f t="shared" si="13"/>
        <v>Diferencia pagos en curso</v>
      </c>
      <c r="AZ29" t="str">
        <f t="shared" si="14"/>
        <v>No aplica</v>
      </c>
      <c r="BA29" t="str">
        <f t="shared" si="15"/>
        <v>No aplica</v>
      </c>
      <c r="BB29">
        <f t="shared" si="16"/>
        <v>1033.5</v>
      </c>
      <c r="BC29" t="str">
        <f t="shared" si="17"/>
        <v>Validación correcta</v>
      </c>
      <c r="BD29" t="str">
        <f t="shared" si="18"/>
        <v>Ningún comentario</v>
      </c>
      <c r="BE29" t="s">
        <v>312</v>
      </c>
      <c r="BF29" t="s">
        <v>314</v>
      </c>
    </row>
    <row r="30" spans="1:58" x14ac:dyDescent="0.2">
      <c r="A30" s="1">
        <v>8000250754</v>
      </c>
      <c r="B30" s="1">
        <v>3200378741</v>
      </c>
      <c r="C30" t="s">
        <v>22</v>
      </c>
      <c r="D30" t="s">
        <v>23</v>
      </c>
      <c r="E30" s="2">
        <v>44120.385486109997</v>
      </c>
      <c r="F30">
        <v>11601.6</v>
      </c>
      <c r="G30" s="3">
        <v>0</v>
      </c>
      <c r="H30" t="s">
        <v>158</v>
      </c>
      <c r="I30" t="s">
        <v>159</v>
      </c>
      <c r="J30" t="s">
        <v>26</v>
      </c>
      <c r="K30" t="s">
        <v>27</v>
      </c>
      <c r="L30" t="s">
        <v>159</v>
      </c>
      <c r="M30" t="s">
        <v>160</v>
      </c>
      <c r="N30" s="2" t="s">
        <v>297</v>
      </c>
      <c r="O30" t="s">
        <v>29</v>
      </c>
      <c r="P30" t="s">
        <v>29</v>
      </c>
      <c r="T30" s="1">
        <v>1</v>
      </c>
      <c r="U30" t="s">
        <v>161</v>
      </c>
      <c r="V30" t="s">
        <v>29</v>
      </c>
      <c r="W30" t="s">
        <v>162</v>
      </c>
      <c r="Y30">
        <v>11601.6</v>
      </c>
      <c r="Z30" t="str">
        <f t="shared" si="0"/>
        <v>OK</v>
      </c>
      <c r="AA30" t="s">
        <v>313</v>
      </c>
      <c r="AC30" t="str">
        <f t="shared" si="1"/>
        <v>0</v>
      </c>
      <c r="AD30" s="5">
        <v>44120</v>
      </c>
      <c r="AE30">
        <f>IF(V30="SUBSECUENTE","No aplica",VLOOKUP(YEAR(AD30),'SALARIO MINIMO'!A1:B100,2,FALSE))</f>
        <v>123.22</v>
      </c>
      <c r="AF30">
        <f>IF(V30="SUBSECUENTE","No aplica",IF(YEAR(AD30)=2016,VLOOKUP(YEAR(AD30),UMA!A1:B100,2,FALSE),IF(MONTH(AD30)=1,VLOOKUP((YEAR(AD30))-1,UMA!A1:B100,2,FALSE),VLOOKUP(YEAR(AD30),UMA!A1:B100,2,FALSE))))</f>
        <v>86.88</v>
      </c>
      <c r="AG30">
        <f t="shared" si="2"/>
        <v>36966</v>
      </c>
      <c r="AH30">
        <f t="shared" si="3"/>
        <v>26063.999999999996</v>
      </c>
      <c r="AI30" t="str">
        <f t="shared" si="4"/>
        <v>Error Validacion 1</v>
      </c>
      <c r="AJ30" s="2" t="str">
        <f t="shared" si="5"/>
        <v>20201016 09:11:07</v>
      </c>
      <c r="AK30">
        <v>386.72</v>
      </c>
      <c r="AL30">
        <v>177.5</v>
      </c>
      <c r="AM30">
        <f t="shared" si="6"/>
        <v>11601.6</v>
      </c>
      <c r="AN30">
        <f t="shared" si="7"/>
        <v>15975</v>
      </c>
      <c r="AO30" t="str">
        <f t="shared" si="8"/>
        <v>OK_SALA</v>
      </c>
      <c r="AP30">
        <v>3461.404399</v>
      </c>
      <c r="AQ30" t="s">
        <v>320</v>
      </c>
      <c r="AR30">
        <v>10.927196</v>
      </c>
      <c r="AS30">
        <f t="shared" si="9"/>
        <v>37823.444303135206</v>
      </c>
      <c r="AT30" t="str">
        <f t="shared" si="10"/>
        <v>SAL_A</v>
      </c>
      <c r="AU30" t="str">
        <f t="shared" si="11"/>
        <v>SAL_A</v>
      </c>
      <c r="AW30" t="str">
        <f t="shared" si="12"/>
        <v/>
      </c>
      <c r="AY30" t="str">
        <f t="shared" si="13"/>
        <v>Diferencia pagos en curso</v>
      </c>
      <c r="AZ30" t="str">
        <f t="shared" si="14"/>
        <v>No aplica</v>
      </c>
      <c r="BA30" t="str">
        <f t="shared" si="15"/>
        <v>No aplica</v>
      </c>
      <c r="BB30">
        <f t="shared" si="16"/>
        <v>11601.6</v>
      </c>
      <c r="BC30" t="str">
        <f t="shared" si="17"/>
        <v>Validación correcta</v>
      </c>
      <c r="BD30" t="str">
        <f t="shared" si="18"/>
        <v>Ningún comentario</v>
      </c>
      <c r="BE30" t="s">
        <v>312</v>
      </c>
      <c r="BF30" t="s">
        <v>314</v>
      </c>
    </row>
    <row r="31" spans="1:58" x14ac:dyDescent="0.2">
      <c r="A31" s="1">
        <v>8000250625</v>
      </c>
      <c r="B31" s="4" t="s">
        <v>265</v>
      </c>
      <c r="C31" t="s">
        <v>22</v>
      </c>
      <c r="D31" t="s">
        <v>23</v>
      </c>
      <c r="E31" s="2">
        <v>44120.346817129997</v>
      </c>
      <c r="F31">
        <v>17854.5</v>
      </c>
      <c r="G31" s="3">
        <v>0</v>
      </c>
      <c r="H31" t="s">
        <v>163</v>
      </c>
      <c r="I31" t="s">
        <v>164</v>
      </c>
      <c r="J31" t="s">
        <v>26</v>
      </c>
      <c r="K31" t="s">
        <v>27</v>
      </c>
      <c r="L31" t="s">
        <v>164</v>
      </c>
      <c r="M31" t="s">
        <v>165</v>
      </c>
      <c r="N31" s="2" t="s">
        <v>298</v>
      </c>
      <c r="O31" t="s">
        <v>29</v>
      </c>
      <c r="P31" t="s">
        <v>29</v>
      </c>
      <c r="T31" s="1">
        <v>1</v>
      </c>
      <c r="U31" t="s">
        <v>166</v>
      </c>
      <c r="V31" t="s">
        <v>29</v>
      </c>
      <c r="W31" t="s">
        <v>167</v>
      </c>
      <c r="Y31">
        <v>17854.5</v>
      </c>
      <c r="Z31" t="str">
        <f t="shared" si="0"/>
        <v>OK</v>
      </c>
      <c r="AA31" t="s">
        <v>313</v>
      </c>
      <c r="AC31" t="str">
        <f t="shared" si="1"/>
        <v>0</v>
      </c>
      <c r="AD31" s="5">
        <v>44120</v>
      </c>
      <c r="AE31">
        <f>IF(V31="SUBSECUENTE","No aplica",VLOOKUP(YEAR(AD31),'SALARIO MINIMO'!A1:B100,2,FALSE))</f>
        <v>123.22</v>
      </c>
      <c r="AF31">
        <f>IF(V31="SUBSECUENTE","No aplica",IF(YEAR(AD31)=2016,VLOOKUP(YEAR(AD31),UMA!A1:B100,2,FALSE),IF(MONTH(AD31)=1,VLOOKUP((YEAR(AD31))-1,UMA!A1:B100,2,FALSE),VLOOKUP(YEAR(AD31),UMA!A1:B100,2,FALSE))))</f>
        <v>86.88</v>
      </c>
      <c r="AG31">
        <f t="shared" si="2"/>
        <v>36966</v>
      </c>
      <c r="AH31">
        <f t="shared" si="3"/>
        <v>26063.999999999996</v>
      </c>
      <c r="AI31" t="str">
        <f t="shared" si="4"/>
        <v>Error Validacion 1</v>
      </c>
      <c r="AJ31" s="2" t="str">
        <f t="shared" si="5"/>
        <v>20201016 08:15:25</v>
      </c>
      <c r="AK31">
        <v>595.15</v>
      </c>
      <c r="AL31">
        <v>418.53</v>
      </c>
      <c r="AM31">
        <f t="shared" si="6"/>
        <v>17854.5</v>
      </c>
      <c r="AN31">
        <f t="shared" si="7"/>
        <v>37667.699999999997</v>
      </c>
      <c r="AO31" t="str">
        <f t="shared" si="8"/>
        <v>OK_SALA</v>
      </c>
      <c r="AP31">
        <v>12358.028</v>
      </c>
      <c r="AQ31" t="s">
        <v>318</v>
      </c>
      <c r="AR31">
        <v>10.849608</v>
      </c>
      <c r="AS31">
        <f t="shared" si="9"/>
        <v>134079.75945302399</v>
      </c>
      <c r="AT31" t="str">
        <f t="shared" si="10"/>
        <v>SAL_A</v>
      </c>
      <c r="AU31" t="str">
        <f t="shared" si="11"/>
        <v>SAL_A</v>
      </c>
      <c r="AW31" t="str">
        <f t="shared" si="12"/>
        <v/>
      </c>
      <c r="AY31" t="str">
        <f t="shared" si="13"/>
        <v>Diferencia pagos en curso</v>
      </c>
      <c r="AZ31" t="str">
        <f t="shared" si="14"/>
        <v>No aplica</v>
      </c>
      <c r="BA31" t="str">
        <f t="shared" si="15"/>
        <v>No aplica</v>
      </c>
      <c r="BB31">
        <f t="shared" si="16"/>
        <v>17854.5</v>
      </c>
      <c r="BC31" t="str">
        <f t="shared" si="17"/>
        <v>Validación correcta</v>
      </c>
      <c r="BD31" t="str">
        <f t="shared" si="18"/>
        <v>Ningún comentario</v>
      </c>
      <c r="BE31" t="s">
        <v>312</v>
      </c>
      <c r="BF31" t="s">
        <v>314</v>
      </c>
    </row>
    <row r="32" spans="1:58" x14ac:dyDescent="0.2">
      <c r="A32" s="1">
        <v>8000251131</v>
      </c>
      <c r="B32" s="4" t="s">
        <v>266</v>
      </c>
      <c r="C32" t="s">
        <v>22</v>
      </c>
      <c r="D32" t="s">
        <v>23</v>
      </c>
      <c r="E32" s="2">
        <v>44120.490104160002</v>
      </c>
      <c r="F32">
        <v>17494.5</v>
      </c>
      <c r="G32" s="3">
        <v>0</v>
      </c>
      <c r="H32" t="s">
        <v>168</v>
      </c>
      <c r="I32" t="s">
        <v>169</v>
      </c>
      <c r="J32" t="s">
        <v>26</v>
      </c>
      <c r="K32" t="s">
        <v>27</v>
      </c>
      <c r="L32" t="s">
        <v>169</v>
      </c>
      <c r="M32" t="s">
        <v>170</v>
      </c>
      <c r="N32" s="2" t="s">
        <v>299</v>
      </c>
      <c r="O32" t="s">
        <v>29</v>
      </c>
      <c r="P32" t="s">
        <v>29</v>
      </c>
      <c r="T32" s="1">
        <v>1</v>
      </c>
      <c r="U32" t="s">
        <v>171</v>
      </c>
      <c r="V32" t="s">
        <v>29</v>
      </c>
      <c r="W32" t="s">
        <v>172</v>
      </c>
      <c r="Y32">
        <v>17494.5</v>
      </c>
      <c r="Z32" t="str">
        <f t="shared" si="0"/>
        <v>OK</v>
      </c>
      <c r="AA32" t="s">
        <v>313</v>
      </c>
      <c r="AC32" t="str">
        <f t="shared" si="1"/>
        <v>0</v>
      </c>
      <c r="AD32" s="5">
        <v>44120</v>
      </c>
      <c r="AE32">
        <f>IF(V32="SUBSECUENTE","No aplica",VLOOKUP(YEAR(AD32),'SALARIO MINIMO'!A1:B100,2,FALSE))</f>
        <v>123.22</v>
      </c>
      <c r="AF32">
        <f>IF(V32="SUBSECUENTE","No aplica",IF(YEAR(AD32)=2016,VLOOKUP(YEAR(AD32),UMA!A1:B100,2,FALSE),IF(MONTH(AD32)=1,VLOOKUP((YEAR(AD32))-1,UMA!A1:B100,2,FALSE),VLOOKUP(YEAR(AD32),UMA!A1:B100,2,FALSE))))</f>
        <v>86.88</v>
      </c>
      <c r="AG32">
        <f t="shared" si="2"/>
        <v>36966</v>
      </c>
      <c r="AH32">
        <f t="shared" si="3"/>
        <v>26063.999999999996</v>
      </c>
      <c r="AI32" t="str">
        <f t="shared" si="4"/>
        <v>Error Validacion 1</v>
      </c>
      <c r="AJ32" s="2" t="str">
        <f t="shared" si="5"/>
        <v>20201016 11:41:45</v>
      </c>
      <c r="AK32">
        <v>583.15</v>
      </c>
      <c r="AL32">
        <v>353.8</v>
      </c>
      <c r="AM32">
        <f t="shared" si="6"/>
        <v>17494.5</v>
      </c>
      <c r="AN32">
        <f t="shared" si="7"/>
        <v>31842</v>
      </c>
      <c r="AO32" t="str">
        <f t="shared" si="8"/>
        <v>OK_SALA</v>
      </c>
      <c r="AP32">
        <v>10413.557409999999</v>
      </c>
      <c r="AQ32" t="s">
        <v>319</v>
      </c>
      <c r="AR32">
        <v>12.091010000000001</v>
      </c>
      <c r="AS32">
        <f t="shared" si="9"/>
        <v>125910.4267798841</v>
      </c>
      <c r="AT32" t="str">
        <f t="shared" si="10"/>
        <v>SAL_A</v>
      </c>
      <c r="AU32" t="str">
        <f t="shared" si="11"/>
        <v>SAL_A</v>
      </c>
      <c r="AW32" t="str">
        <f t="shared" si="12"/>
        <v/>
      </c>
      <c r="AY32" t="str">
        <f t="shared" si="13"/>
        <v>Diferencia pagos en curso</v>
      </c>
      <c r="AZ32" t="str">
        <f t="shared" si="14"/>
        <v>No aplica</v>
      </c>
      <c r="BA32" t="str">
        <f t="shared" si="15"/>
        <v>No aplica</v>
      </c>
      <c r="BB32">
        <f t="shared" si="16"/>
        <v>17494.5</v>
      </c>
      <c r="BC32" t="str">
        <f t="shared" si="17"/>
        <v>Validación correcta</v>
      </c>
      <c r="BD32" t="str">
        <f t="shared" si="18"/>
        <v>Ningún comentario</v>
      </c>
      <c r="BE32" t="s">
        <v>312</v>
      </c>
      <c r="BF32" t="s">
        <v>314</v>
      </c>
    </row>
    <row r="33" spans="1:58" x14ac:dyDescent="0.2">
      <c r="A33" s="1">
        <v>8000251364</v>
      </c>
      <c r="B33" s="1">
        <v>3300154417</v>
      </c>
      <c r="C33" t="s">
        <v>22</v>
      </c>
      <c r="D33" t="s">
        <v>23</v>
      </c>
      <c r="E33" s="2">
        <v>44120.546284720003</v>
      </c>
      <c r="F33">
        <v>14322.9</v>
      </c>
      <c r="G33" s="3">
        <v>0</v>
      </c>
      <c r="H33" t="s">
        <v>173</v>
      </c>
      <c r="I33" t="s">
        <v>174</v>
      </c>
      <c r="J33" t="s">
        <v>26</v>
      </c>
      <c r="K33" t="s">
        <v>27</v>
      </c>
      <c r="L33" t="s">
        <v>174</v>
      </c>
      <c r="M33" t="s">
        <v>71</v>
      </c>
      <c r="N33" s="2" t="s">
        <v>300</v>
      </c>
      <c r="O33" t="s">
        <v>29</v>
      </c>
      <c r="P33" t="s">
        <v>29</v>
      </c>
      <c r="T33" s="1">
        <v>1</v>
      </c>
      <c r="U33" t="s">
        <v>175</v>
      </c>
      <c r="V33" t="s">
        <v>29</v>
      </c>
      <c r="W33" t="s">
        <v>176</v>
      </c>
      <c r="Y33">
        <v>14322.9</v>
      </c>
      <c r="Z33" t="str">
        <f t="shared" si="0"/>
        <v>OK</v>
      </c>
      <c r="AA33" t="s">
        <v>313</v>
      </c>
      <c r="AC33" t="str">
        <f t="shared" si="1"/>
        <v>0</v>
      </c>
      <c r="AD33" s="5">
        <v>44120</v>
      </c>
      <c r="AE33">
        <f>IF(V33="SUBSECUENTE","No aplica",VLOOKUP(YEAR(AD33),'SALARIO MINIMO'!A1:B100,2,FALSE))</f>
        <v>123.22</v>
      </c>
      <c r="AF33">
        <f>IF(V33="SUBSECUENTE","No aplica",IF(YEAR(AD33)=2016,VLOOKUP(YEAR(AD33),UMA!A1:B100,2,FALSE),IF(MONTH(AD33)=1,VLOOKUP((YEAR(AD33))-1,UMA!A1:B100,2,FALSE),VLOOKUP(YEAR(AD33),UMA!A1:B100,2,FALSE))))</f>
        <v>86.88</v>
      </c>
      <c r="AG33">
        <f t="shared" si="2"/>
        <v>36966</v>
      </c>
      <c r="AH33">
        <f t="shared" si="3"/>
        <v>26063.999999999996</v>
      </c>
      <c r="AI33" t="str">
        <f t="shared" si="4"/>
        <v>Error Validacion 1</v>
      </c>
      <c r="AJ33" s="2" t="str">
        <f t="shared" si="5"/>
        <v>20201016 12:58:38</v>
      </c>
      <c r="AK33">
        <v>477.43</v>
      </c>
      <c r="AL33">
        <v>298.27999999999997</v>
      </c>
      <c r="AM33">
        <f t="shared" si="6"/>
        <v>14322.9</v>
      </c>
      <c r="AN33">
        <f t="shared" si="7"/>
        <v>26845.199999999997</v>
      </c>
      <c r="AO33" t="str">
        <f t="shared" si="8"/>
        <v>OK_SALA</v>
      </c>
      <c r="AP33">
        <v>4500.2462159999995</v>
      </c>
      <c r="AQ33" t="s">
        <v>315</v>
      </c>
      <c r="AR33">
        <v>13.148607</v>
      </c>
      <c r="AS33">
        <f t="shared" si="9"/>
        <v>59171.968897421109</v>
      </c>
      <c r="AT33" t="str">
        <f t="shared" si="10"/>
        <v>SAL_A</v>
      </c>
      <c r="AU33" t="str">
        <f t="shared" si="11"/>
        <v>SAL_A</v>
      </c>
      <c r="AW33" t="str">
        <f t="shared" si="12"/>
        <v/>
      </c>
      <c r="AY33" t="str">
        <f t="shared" si="13"/>
        <v>Diferencia pagos en curso</v>
      </c>
      <c r="AZ33" t="str">
        <f t="shared" si="14"/>
        <v>No aplica</v>
      </c>
      <c r="BA33" t="str">
        <f t="shared" si="15"/>
        <v>No aplica</v>
      </c>
      <c r="BB33">
        <f t="shared" si="16"/>
        <v>14322.9</v>
      </c>
      <c r="BC33" t="str">
        <f t="shared" si="17"/>
        <v>Validación correcta</v>
      </c>
      <c r="BD33" t="str">
        <f t="shared" si="18"/>
        <v>Ningún comentario</v>
      </c>
      <c r="BE33" t="s">
        <v>312</v>
      </c>
      <c r="BF33" t="s">
        <v>314</v>
      </c>
    </row>
    <row r="34" spans="1:58" x14ac:dyDescent="0.2">
      <c r="A34" s="1">
        <v>8000251442</v>
      </c>
      <c r="B34" s="1">
        <v>3200602321</v>
      </c>
      <c r="C34" t="s">
        <v>22</v>
      </c>
      <c r="D34" t="s">
        <v>23</v>
      </c>
      <c r="E34" s="2">
        <v>44120.559224529999</v>
      </c>
      <c r="F34">
        <v>5165.7</v>
      </c>
      <c r="G34" s="3">
        <v>0</v>
      </c>
      <c r="H34" t="s">
        <v>177</v>
      </c>
      <c r="I34" t="s">
        <v>178</v>
      </c>
      <c r="J34" t="s">
        <v>26</v>
      </c>
      <c r="K34" t="s">
        <v>27</v>
      </c>
      <c r="L34" t="s">
        <v>178</v>
      </c>
      <c r="M34" t="s">
        <v>179</v>
      </c>
      <c r="N34" s="2" t="s">
        <v>301</v>
      </c>
      <c r="O34" t="s">
        <v>29</v>
      </c>
      <c r="P34" t="s">
        <v>29</v>
      </c>
      <c r="T34" s="1">
        <v>1</v>
      </c>
      <c r="U34" t="s">
        <v>180</v>
      </c>
      <c r="V34" t="s">
        <v>29</v>
      </c>
      <c r="W34" t="s">
        <v>181</v>
      </c>
      <c r="Y34">
        <v>5165.7</v>
      </c>
      <c r="Z34" t="str">
        <f t="shared" si="0"/>
        <v>OK</v>
      </c>
      <c r="AA34" t="s">
        <v>313</v>
      </c>
      <c r="AC34" t="str">
        <f t="shared" si="1"/>
        <v>0</v>
      </c>
      <c r="AD34" s="5">
        <v>44120</v>
      </c>
      <c r="AE34">
        <f>IF(V34="SUBSECUENTE","No aplica",VLOOKUP(YEAR(AD34),'SALARIO MINIMO'!A1:B100,2,FALSE))</f>
        <v>123.22</v>
      </c>
      <c r="AF34">
        <f>IF(V34="SUBSECUENTE","No aplica",IF(YEAR(AD34)=2016,VLOOKUP(YEAR(AD34),UMA!A1:B100,2,FALSE),IF(MONTH(AD34)=1,VLOOKUP((YEAR(AD34))-1,UMA!A1:B100,2,FALSE),VLOOKUP(YEAR(AD34),UMA!A1:B100,2,FALSE))))</f>
        <v>86.88</v>
      </c>
      <c r="AG34">
        <f t="shared" si="2"/>
        <v>36966</v>
      </c>
      <c r="AH34">
        <f t="shared" si="3"/>
        <v>26063.999999999996</v>
      </c>
      <c r="AI34" t="str">
        <f t="shared" si="4"/>
        <v>Error Validacion 1</v>
      </c>
      <c r="AJ34" s="2" t="str">
        <f t="shared" si="5"/>
        <v>20201016 13:21:16</v>
      </c>
      <c r="AK34">
        <v>172.19</v>
      </c>
      <c r="AL34">
        <v>155.96</v>
      </c>
      <c r="AM34">
        <f t="shared" si="6"/>
        <v>5165.7</v>
      </c>
      <c r="AN34">
        <f t="shared" si="7"/>
        <v>14036.400000000001</v>
      </c>
      <c r="AO34" t="str">
        <f t="shared" si="8"/>
        <v>OK_SALA</v>
      </c>
      <c r="AP34">
        <v>10527.306140000001</v>
      </c>
      <c r="AQ34" t="s">
        <v>319</v>
      </c>
      <c r="AR34">
        <v>12.091010000000001</v>
      </c>
      <c r="AS34">
        <f t="shared" si="9"/>
        <v>127285.76381180141</v>
      </c>
      <c r="AT34" t="str">
        <f t="shared" si="10"/>
        <v>SAL_A</v>
      </c>
      <c r="AU34" t="str">
        <f t="shared" si="11"/>
        <v>SAL_A</v>
      </c>
      <c r="AW34" t="str">
        <f t="shared" si="12"/>
        <v/>
      </c>
      <c r="AY34" t="str">
        <f t="shared" si="13"/>
        <v>Diferencia pagos en curso</v>
      </c>
      <c r="AZ34" t="str">
        <f t="shared" si="14"/>
        <v>No aplica</v>
      </c>
      <c r="BA34" t="str">
        <f t="shared" si="15"/>
        <v>No aplica</v>
      </c>
      <c r="BB34">
        <f t="shared" si="16"/>
        <v>5165.7</v>
      </c>
      <c r="BC34" t="str">
        <f t="shared" si="17"/>
        <v>Validación correcta</v>
      </c>
      <c r="BD34" t="str">
        <f t="shared" si="18"/>
        <v>Ningún comentario</v>
      </c>
      <c r="BE34" t="s">
        <v>312</v>
      </c>
      <c r="BF34" t="s">
        <v>314</v>
      </c>
    </row>
    <row r="35" spans="1:58" x14ac:dyDescent="0.2">
      <c r="A35" s="1">
        <v>8000250947</v>
      </c>
      <c r="B35" s="1">
        <v>3300330010</v>
      </c>
      <c r="C35" t="s">
        <v>22</v>
      </c>
      <c r="D35" t="s">
        <v>23</v>
      </c>
      <c r="E35" s="2">
        <v>44120.440486109997</v>
      </c>
      <c r="F35">
        <v>7590.9</v>
      </c>
      <c r="G35" s="3">
        <v>0</v>
      </c>
      <c r="H35" t="s">
        <v>182</v>
      </c>
      <c r="I35" t="s">
        <v>183</v>
      </c>
      <c r="J35" t="s">
        <v>26</v>
      </c>
      <c r="K35" t="s">
        <v>27</v>
      </c>
      <c r="L35" t="s">
        <v>183</v>
      </c>
      <c r="M35" t="s">
        <v>28</v>
      </c>
      <c r="N35" s="2" t="s">
        <v>302</v>
      </c>
      <c r="O35" t="s">
        <v>29</v>
      </c>
      <c r="P35" t="s">
        <v>29</v>
      </c>
      <c r="T35" s="1">
        <v>1</v>
      </c>
      <c r="U35" t="s">
        <v>184</v>
      </c>
      <c r="V35" t="s">
        <v>29</v>
      </c>
      <c r="W35" t="s">
        <v>185</v>
      </c>
      <c r="Y35">
        <v>7590.9</v>
      </c>
      <c r="Z35" t="str">
        <f t="shared" si="0"/>
        <v>OK</v>
      </c>
      <c r="AA35" t="s">
        <v>313</v>
      </c>
      <c r="AC35" t="str">
        <f t="shared" si="1"/>
        <v>0</v>
      </c>
      <c r="AD35" s="5">
        <v>44120</v>
      </c>
      <c r="AE35">
        <f>IF(V35="SUBSECUENTE","No aplica",VLOOKUP(YEAR(AD35),'SALARIO MINIMO'!A1:B100,2,FALSE))</f>
        <v>123.22</v>
      </c>
      <c r="AF35">
        <f>IF(V35="SUBSECUENTE","No aplica",IF(YEAR(AD35)=2016,VLOOKUP(YEAR(AD35),UMA!A1:B100,2,FALSE),IF(MONTH(AD35)=1,VLOOKUP((YEAR(AD35))-1,UMA!A1:B100,2,FALSE),VLOOKUP(YEAR(AD35),UMA!A1:B100,2,FALSE))))</f>
        <v>86.88</v>
      </c>
      <c r="AG35">
        <f t="shared" si="2"/>
        <v>36966</v>
      </c>
      <c r="AH35">
        <f t="shared" si="3"/>
        <v>26063.999999999996</v>
      </c>
      <c r="AI35" t="str">
        <f t="shared" si="4"/>
        <v>Error Validacion 1</v>
      </c>
      <c r="AJ35" s="2" t="str">
        <f t="shared" si="5"/>
        <v>20201016 10:30:18</v>
      </c>
      <c r="AK35">
        <v>253.03</v>
      </c>
      <c r="AL35">
        <v>191.3</v>
      </c>
      <c r="AM35">
        <f t="shared" si="6"/>
        <v>7590.9</v>
      </c>
      <c r="AN35">
        <f t="shared" si="7"/>
        <v>17217</v>
      </c>
      <c r="AO35" t="str">
        <f t="shared" si="8"/>
        <v>OK_SALA</v>
      </c>
      <c r="AP35">
        <v>2187.0883829999998</v>
      </c>
      <c r="AQ35" t="s">
        <v>316</v>
      </c>
      <c r="AR35">
        <v>13.153222</v>
      </c>
      <c r="AS35">
        <f t="shared" si="9"/>
        <v>28767.25903522002</v>
      </c>
      <c r="AT35" t="str">
        <f t="shared" si="10"/>
        <v>SAL_A</v>
      </c>
      <c r="AU35" t="str">
        <f t="shared" si="11"/>
        <v>SAL_A</v>
      </c>
      <c r="AW35" t="str">
        <f t="shared" si="12"/>
        <v/>
      </c>
      <c r="AY35" t="str">
        <f t="shared" si="13"/>
        <v>Diferencia pagos en curso</v>
      </c>
      <c r="AZ35" t="str">
        <f t="shared" si="14"/>
        <v>No aplica</v>
      </c>
      <c r="BA35" t="str">
        <f t="shared" si="15"/>
        <v>No aplica</v>
      </c>
      <c r="BB35">
        <f t="shared" si="16"/>
        <v>7590.9</v>
      </c>
      <c r="BC35" t="str">
        <f t="shared" si="17"/>
        <v>Validación correcta</v>
      </c>
      <c r="BD35" t="str">
        <f t="shared" si="18"/>
        <v>Ningún comentario</v>
      </c>
      <c r="BE35" t="s">
        <v>312</v>
      </c>
      <c r="BF35" t="s">
        <v>314</v>
      </c>
    </row>
    <row r="36" spans="1:58" x14ac:dyDescent="0.2">
      <c r="A36" s="1">
        <v>8000250828</v>
      </c>
      <c r="B36" s="1">
        <v>3200521401</v>
      </c>
      <c r="C36" t="s">
        <v>22</v>
      </c>
      <c r="D36" t="s">
        <v>23</v>
      </c>
      <c r="E36" s="2">
        <v>44120.413402769998</v>
      </c>
      <c r="F36">
        <v>26064</v>
      </c>
      <c r="G36" s="3">
        <v>0</v>
      </c>
      <c r="H36" t="s">
        <v>186</v>
      </c>
      <c r="I36" t="s">
        <v>187</v>
      </c>
      <c r="J36" t="s">
        <v>26</v>
      </c>
      <c r="K36" t="s">
        <v>27</v>
      </c>
      <c r="L36" t="s">
        <v>187</v>
      </c>
      <c r="M36" t="s">
        <v>112</v>
      </c>
      <c r="N36" s="2" t="s">
        <v>303</v>
      </c>
      <c r="O36" t="s">
        <v>29</v>
      </c>
      <c r="P36" t="s">
        <v>29</v>
      </c>
      <c r="T36" s="1">
        <v>1</v>
      </c>
      <c r="U36" t="s">
        <v>188</v>
      </c>
      <c r="V36" t="s">
        <v>29</v>
      </c>
      <c r="W36" t="s">
        <v>189</v>
      </c>
      <c r="Y36">
        <v>26064</v>
      </c>
      <c r="Z36" t="str">
        <f t="shared" si="0"/>
        <v>OK</v>
      </c>
      <c r="AA36" t="s">
        <v>313</v>
      </c>
      <c r="AC36" t="str">
        <f t="shared" si="1"/>
        <v>0</v>
      </c>
      <c r="AD36" s="5">
        <v>44120</v>
      </c>
      <c r="AE36">
        <f>IF(V36="SUBSECUENTE","No aplica",VLOOKUP(YEAR(AD36),'SALARIO MINIMO'!A1:B100,2,FALSE))</f>
        <v>123.22</v>
      </c>
      <c r="AF36">
        <f>IF(V36="SUBSECUENTE","No aplica",IF(YEAR(AD36)=2016,VLOOKUP(YEAR(AD36),UMA!A1:B100,2,FALSE),IF(MONTH(AD36)=1,VLOOKUP((YEAR(AD36))-1,UMA!A1:B100,2,FALSE),VLOOKUP(YEAR(AD36),UMA!A1:B100,2,FALSE))))</f>
        <v>86.88</v>
      </c>
      <c r="AG36">
        <f t="shared" si="2"/>
        <v>36966</v>
      </c>
      <c r="AH36">
        <f t="shared" si="3"/>
        <v>26063.999999999996</v>
      </c>
      <c r="AI36" t="str">
        <f t="shared" si="4"/>
        <v>OK_UMA</v>
      </c>
      <c r="AJ36" s="2" t="str">
        <f t="shared" si="5"/>
        <v>20201016 09:51:18</v>
      </c>
      <c r="AK36">
        <v>1417.54</v>
      </c>
      <c r="AL36">
        <v>624.22</v>
      </c>
      <c r="AM36">
        <f t="shared" si="6"/>
        <v>42526.2</v>
      </c>
      <c r="AN36">
        <f t="shared" si="7"/>
        <v>56179.8</v>
      </c>
      <c r="AO36" t="str">
        <f t="shared" si="8"/>
        <v>Revisar_11.5%</v>
      </c>
      <c r="AP36">
        <v>13446.741169999999</v>
      </c>
      <c r="AQ36" t="s">
        <v>320</v>
      </c>
      <c r="AR36">
        <v>10.927196</v>
      </c>
      <c r="AS36">
        <f t="shared" si="9"/>
        <v>146935.17632585933</v>
      </c>
      <c r="AT36">
        <f t="shared" si="10"/>
        <v>16897.545277473822</v>
      </c>
      <c r="AU36" t="str">
        <f t="shared" si="11"/>
        <v>Error Validación 4</v>
      </c>
      <c r="AW36" t="str">
        <f t="shared" si="12"/>
        <v/>
      </c>
      <c r="AY36" t="str">
        <f t="shared" si="13"/>
        <v>Diferencia pagos en curso</v>
      </c>
      <c r="AZ36" t="str">
        <f t="shared" si="14"/>
        <v>No aplica</v>
      </c>
      <c r="BA36" t="str">
        <f t="shared" si="15"/>
        <v>No aplica</v>
      </c>
      <c r="BB36">
        <f t="shared" si="16"/>
        <v>26063.999999999996</v>
      </c>
      <c r="BC36" t="str">
        <f t="shared" si="17"/>
        <v>Validación correcta</v>
      </c>
      <c r="BD36" t="str">
        <f t="shared" si="18"/>
        <v>Ningún comentario</v>
      </c>
      <c r="BE36" t="s">
        <v>312</v>
      </c>
      <c r="BF36" t="s">
        <v>314</v>
      </c>
    </row>
    <row r="37" spans="1:58" x14ac:dyDescent="0.2">
      <c r="A37" s="1">
        <v>8000251393</v>
      </c>
      <c r="B37" s="1">
        <v>3200277502</v>
      </c>
      <c r="C37" t="s">
        <v>22</v>
      </c>
      <c r="D37" t="s">
        <v>23</v>
      </c>
      <c r="E37" s="2">
        <v>44120.548229159998</v>
      </c>
      <c r="F37">
        <v>56936.41</v>
      </c>
      <c r="G37" s="3">
        <v>0</v>
      </c>
      <c r="H37" t="s">
        <v>190</v>
      </c>
      <c r="I37" t="s">
        <v>191</v>
      </c>
      <c r="J37" t="s">
        <v>26</v>
      </c>
      <c r="K37" t="s">
        <v>27</v>
      </c>
      <c r="L37" t="s">
        <v>191</v>
      </c>
      <c r="M37" t="s">
        <v>51</v>
      </c>
      <c r="N37" s="2" t="s">
        <v>304</v>
      </c>
      <c r="O37" t="s">
        <v>29</v>
      </c>
      <c r="P37" t="s">
        <v>29</v>
      </c>
      <c r="T37" s="1">
        <v>1</v>
      </c>
      <c r="U37" t="s">
        <v>192</v>
      </c>
      <c r="V37" t="s">
        <v>29</v>
      </c>
      <c r="W37" t="s">
        <v>193</v>
      </c>
      <c r="Y37">
        <v>56936.41</v>
      </c>
      <c r="Z37" t="str">
        <f t="shared" si="0"/>
        <v>OK</v>
      </c>
      <c r="AA37" t="s">
        <v>313</v>
      </c>
      <c r="AC37" t="str">
        <f t="shared" si="1"/>
        <v>0</v>
      </c>
      <c r="AD37" s="5">
        <v>44120</v>
      </c>
      <c r="AE37">
        <f>IF(V37="SUBSECUENTE","No aplica",VLOOKUP(YEAR(AD37),'SALARIO MINIMO'!A1:B100,2,FALSE))</f>
        <v>123.22</v>
      </c>
      <c r="AF37">
        <f>IF(V37="SUBSECUENTE","No aplica",IF(YEAR(AD37)=2016,VLOOKUP(YEAR(AD37),UMA!A1:B100,2,FALSE),IF(MONTH(AD37)=1,VLOOKUP((YEAR(AD37))-1,UMA!A1:B100,2,FALSE),VLOOKUP(YEAR(AD37),UMA!A1:B100,2,FALSE))))</f>
        <v>86.88</v>
      </c>
      <c r="AG37">
        <f t="shared" si="2"/>
        <v>36966</v>
      </c>
      <c r="AH37">
        <f t="shared" si="3"/>
        <v>26063.999999999996</v>
      </c>
      <c r="AI37" t="str">
        <f t="shared" si="4"/>
        <v>Error Validacion 1</v>
      </c>
      <c r="AJ37" s="2" t="str">
        <f t="shared" si="5"/>
        <v>20201016 13:05:28</v>
      </c>
      <c r="AK37">
        <v>2015</v>
      </c>
      <c r="AL37">
        <v>1732.58</v>
      </c>
      <c r="AM37">
        <f t="shared" si="6"/>
        <v>60450</v>
      </c>
      <c r="AN37">
        <f t="shared" si="7"/>
        <v>155932.19999999998</v>
      </c>
      <c r="AO37" t="str">
        <f t="shared" si="8"/>
        <v>Revisar_11.5%</v>
      </c>
      <c r="AP37">
        <v>45308.902000000002</v>
      </c>
      <c r="AQ37" t="s">
        <v>320</v>
      </c>
      <c r="AR37">
        <v>10.927196</v>
      </c>
      <c r="AS37">
        <f t="shared" si="9"/>
        <v>495099.25269879203</v>
      </c>
      <c r="AT37">
        <f t="shared" si="10"/>
        <v>56936.414060361087</v>
      </c>
      <c r="AU37" t="str">
        <f t="shared" si="11"/>
        <v>OK_11.5%</v>
      </c>
      <c r="AW37" t="str">
        <f t="shared" si="12"/>
        <v/>
      </c>
      <c r="AY37" t="str">
        <f t="shared" si="13"/>
        <v>Diferencia pagos en curso</v>
      </c>
      <c r="AZ37" t="str">
        <f t="shared" si="14"/>
        <v>No aplica</v>
      </c>
      <c r="BA37" t="str">
        <f t="shared" si="15"/>
        <v>No aplica</v>
      </c>
      <c r="BB37">
        <f t="shared" si="16"/>
        <v>56936.414060361087</v>
      </c>
      <c r="BC37" t="str">
        <f t="shared" si="17"/>
        <v>Validación correcta</v>
      </c>
      <c r="BD37" t="str">
        <f t="shared" si="18"/>
        <v>Ningún comentario</v>
      </c>
      <c r="BE37" t="s">
        <v>312</v>
      </c>
      <c r="BF37" t="s">
        <v>314</v>
      </c>
    </row>
    <row r="38" spans="1:58" x14ac:dyDescent="0.2">
      <c r="A38" s="1">
        <v>8000250922</v>
      </c>
      <c r="B38" s="1">
        <v>2650024707</v>
      </c>
      <c r="C38" t="s">
        <v>22</v>
      </c>
      <c r="D38" t="s">
        <v>23</v>
      </c>
      <c r="E38" s="2">
        <v>44120.435312499998</v>
      </c>
      <c r="F38">
        <v>6719.1</v>
      </c>
      <c r="G38" s="3">
        <v>0</v>
      </c>
      <c r="H38" t="s">
        <v>194</v>
      </c>
      <c r="I38" t="s">
        <v>195</v>
      </c>
      <c r="J38" t="s">
        <v>26</v>
      </c>
      <c r="K38" t="s">
        <v>27</v>
      </c>
      <c r="L38" t="s">
        <v>195</v>
      </c>
      <c r="M38" t="s">
        <v>71</v>
      </c>
      <c r="N38" s="2" t="s">
        <v>305</v>
      </c>
      <c r="O38" t="s">
        <v>29</v>
      </c>
      <c r="P38" t="s">
        <v>29</v>
      </c>
      <c r="T38" s="1">
        <v>1</v>
      </c>
      <c r="U38" t="s">
        <v>196</v>
      </c>
      <c r="V38" t="s">
        <v>29</v>
      </c>
      <c r="W38" t="s">
        <v>197</v>
      </c>
      <c r="Y38">
        <v>6719.1</v>
      </c>
      <c r="Z38" t="str">
        <f t="shared" si="0"/>
        <v>OK</v>
      </c>
      <c r="AA38" t="s">
        <v>313</v>
      </c>
      <c r="AC38" t="str">
        <f t="shared" si="1"/>
        <v>0</v>
      </c>
      <c r="AD38" s="5">
        <v>44120</v>
      </c>
      <c r="AE38">
        <f>IF(V38="SUBSECUENTE","No aplica",VLOOKUP(YEAR(AD38),'SALARIO MINIMO'!A1:B100,2,FALSE))</f>
        <v>123.22</v>
      </c>
      <c r="AF38">
        <f>IF(V38="SUBSECUENTE","No aplica",IF(YEAR(AD38)=2016,VLOOKUP(YEAR(AD38),UMA!A1:B100,2,FALSE),IF(MONTH(AD38)=1,VLOOKUP((YEAR(AD38))-1,UMA!A1:B100,2,FALSE),VLOOKUP(YEAR(AD38),UMA!A1:B100,2,FALSE))))</f>
        <v>86.88</v>
      </c>
      <c r="AG38">
        <f t="shared" si="2"/>
        <v>36966</v>
      </c>
      <c r="AH38">
        <f t="shared" si="3"/>
        <v>26063.999999999996</v>
      </c>
      <c r="AI38" t="str">
        <f t="shared" si="4"/>
        <v>Error Validacion 1</v>
      </c>
      <c r="AJ38" s="2" t="str">
        <f t="shared" si="5"/>
        <v>20201016 10:22:51</v>
      </c>
      <c r="AK38">
        <v>223.97</v>
      </c>
      <c r="AL38">
        <v>115.3</v>
      </c>
      <c r="AM38">
        <f t="shared" si="6"/>
        <v>6719.1</v>
      </c>
      <c r="AN38">
        <f t="shared" si="7"/>
        <v>10377</v>
      </c>
      <c r="AO38" t="str">
        <f t="shared" si="8"/>
        <v>OK_SALA</v>
      </c>
      <c r="AP38">
        <v>1415.641989</v>
      </c>
      <c r="AQ38" t="s">
        <v>320</v>
      </c>
      <c r="AR38">
        <v>10.927196</v>
      </c>
      <c r="AS38">
        <f t="shared" si="9"/>
        <v>15468.997479632844</v>
      </c>
      <c r="AT38" t="str">
        <f t="shared" si="10"/>
        <v>SAL_A</v>
      </c>
      <c r="AU38" t="str">
        <f t="shared" si="11"/>
        <v>SAL_A</v>
      </c>
      <c r="AW38" t="str">
        <f t="shared" si="12"/>
        <v/>
      </c>
      <c r="AY38" t="str">
        <f t="shared" si="13"/>
        <v>Diferencia pagos en curso</v>
      </c>
      <c r="AZ38" t="str">
        <f t="shared" si="14"/>
        <v>No aplica</v>
      </c>
      <c r="BA38" t="str">
        <f t="shared" si="15"/>
        <v>No aplica</v>
      </c>
      <c r="BB38">
        <f t="shared" si="16"/>
        <v>6719.1</v>
      </c>
      <c r="BC38" t="str">
        <f t="shared" si="17"/>
        <v>Validación correcta</v>
      </c>
      <c r="BD38" t="str">
        <f t="shared" si="18"/>
        <v>Ningún comentario</v>
      </c>
      <c r="BE38" t="s">
        <v>312</v>
      </c>
      <c r="BF38" t="s">
        <v>314</v>
      </c>
    </row>
    <row r="39" spans="1:58" x14ac:dyDescent="0.2">
      <c r="A39" s="1">
        <v>8000250948</v>
      </c>
      <c r="B39" s="4" t="s">
        <v>267</v>
      </c>
      <c r="C39" t="s">
        <v>22</v>
      </c>
      <c r="D39" t="s">
        <v>23</v>
      </c>
      <c r="E39" s="2">
        <v>44120.440486109997</v>
      </c>
      <c r="F39">
        <v>5820.6</v>
      </c>
      <c r="G39" s="3">
        <v>0</v>
      </c>
      <c r="H39" t="s">
        <v>198</v>
      </c>
      <c r="I39" t="s">
        <v>199</v>
      </c>
      <c r="J39" t="s">
        <v>26</v>
      </c>
      <c r="K39" t="s">
        <v>27</v>
      </c>
      <c r="L39" t="s">
        <v>199</v>
      </c>
      <c r="M39" t="s">
        <v>28</v>
      </c>
      <c r="N39" s="2" t="s">
        <v>302</v>
      </c>
      <c r="O39" t="s">
        <v>29</v>
      </c>
      <c r="P39" t="s">
        <v>29</v>
      </c>
      <c r="T39" s="1">
        <v>1</v>
      </c>
      <c r="U39" t="s">
        <v>200</v>
      </c>
      <c r="V39" t="s">
        <v>29</v>
      </c>
      <c r="W39" t="s">
        <v>201</v>
      </c>
      <c r="Y39">
        <v>5820.6</v>
      </c>
      <c r="Z39" t="str">
        <f t="shared" si="0"/>
        <v>OK</v>
      </c>
      <c r="AA39" t="s">
        <v>313</v>
      </c>
      <c r="AC39" t="str">
        <f t="shared" si="1"/>
        <v>0</v>
      </c>
      <c r="AD39" s="5">
        <v>44120</v>
      </c>
      <c r="AE39">
        <f>IF(V39="SUBSECUENTE","No aplica",VLOOKUP(YEAR(AD39),'SALARIO MINIMO'!A1:B100,2,FALSE))</f>
        <v>123.22</v>
      </c>
      <c r="AF39">
        <f>IF(V39="SUBSECUENTE","No aplica",IF(YEAR(AD39)=2016,VLOOKUP(YEAR(AD39),UMA!A1:B100,2,FALSE),IF(MONTH(AD39)=1,VLOOKUP((YEAR(AD39))-1,UMA!A1:B100,2,FALSE),VLOOKUP(YEAR(AD39),UMA!A1:B100,2,FALSE))))</f>
        <v>86.88</v>
      </c>
      <c r="AG39">
        <f t="shared" si="2"/>
        <v>36966</v>
      </c>
      <c r="AH39">
        <f t="shared" si="3"/>
        <v>26063.999999999996</v>
      </c>
      <c r="AI39" t="str">
        <f t="shared" si="4"/>
        <v>Error Validacion 1</v>
      </c>
      <c r="AJ39" s="2" t="str">
        <f t="shared" si="5"/>
        <v>20201016 10:30:18</v>
      </c>
      <c r="AK39">
        <v>194.02</v>
      </c>
      <c r="AL39">
        <v>130.97</v>
      </c>
      <c r="AM39">
        <f t="shared" si="6"/>
        <v>5820.6</v>
      </c>
      <c r="AN39">
        <f t="shared" si="7"/>
        <v>11787.3</v>
      </c>
      <c r="AO39" t="str">
        <f t="shared" si="8"/>
        <v>OK_SALA</v>
      </c>
      <c r="AP39">
        <v>1668.249016</v>
      </c>
      <c r="AQ39" t="s">
        <v>318</v>
      </c>
      <c r="AR39">
        <v>10.849608</v>
      </c>
      <c r="AS39">
        <f t="shared" si="9"/>
        <v>18099.847869985726</v>
      </c>
      <c r="AT39" t="str">
        <f t="shared" si="10"/>
        <v>SAL_A</v>
      </c>
      <c r="AU39" t="str">
        <f t="shared" si="11"/>
        <v>SAL_A</v>
      </c>
      <c r="AW39" t="str">
        <f t="shared" si="12"/>
        <v/>
      </c>
      <c r="AY39" t="str">
        <f t="shared" si="13"/>
        <v>Diferencia pagos en curso</v>
      </c>
      <c r="AZ39" t="str">
        <f t="shared" si="14"/>
        <v>No aplica</v>
      </c>
      <c r="BA39" t="str">
        <f t="shared" si="15"/>
        <v>No aplica</v>
      </c>
      <c r="BB39">
        <f t="shared" si="16"/>
        <v>5820.6</v>
      </c>
      <c r="BC39" t="str">
        <f t="shared" si="17"/>
        <v>Validación correcta</v>
      </c>
      <c r="BD39" t="str">
        <f t="shared" si="18"/>
        <v>Ningún comentario</v>
      </c>
      <c r="BE39" t="s">
        <v>312</v>
      </c>
      <c r="BF39" t="s">
        <v>314</v>
      </c>
    </row>
    <row r="40" spans="1:58" x14ac:dyDescent="0.2">
      <c r="A40" s="1">
        <v>8000250839</v>
      </c>
      <c r="B40" s="4" t="s">
        <v>268</v>
      </c>
      <c r="C40" t="s">
        <v>22</v>
      </c>
      <c r="D40" t="s">
        <v>23</v>
      </c>
      <c r="E40" s="2">
        <v>44120.417905089998</v>
      </c>
      <c r="F40">
        <v>7839</v>
      </c>
      <c r="G40" s="3">
        <v>0</v>
      </c>
      <c r="H40" t="s">
        <v>202</v>
      </c>
      <c r="I40" t="s">
        <v>203</v>
      </c>
      <c r="J40" t="s">
        <v>26</v>
      </c>
      <c r="K40" t="s">
        <v>27</v>
      </c>
      <c r="L40" t="s">
        <v>203</v>
      </c>
      <c r="M40" t="s">
        <v>204</v>
      </c>
      <c r="N40" s="2" t="s">
        <v>306</v>
      </c>
      <c r="O40" t="s">
        <v>29</v>
      </c>
      <c r="P40" t="s">
        <v>29</v>
      </c>
      <c r="T40" s="1">
        <v>1</v>
      </c>
      <c r="U40" t="s">
        <v>205</v>
      </c>
      <c r="V40" t="s">
        <v>29</v>
      </c>
      <c r="W40" t="s">
        <v>206</v>
      </c>
      <c r="Y40">
        <v>7839</v>
      </c>
      <c r="Z40" t="str">
        <f t="shared" si="0"/>
        <v>OK</v>
      </c>
      <c r="AA40" t="s">
        <v>313</v>
      </c>
      <c r="AC40" t="str">
        <f t="shared" si="1"/>
        <v>0</v>
      </c>
      <c r="AD40" s="5">
        <v>44120</v>
      </c>
      <c r="AE40">
        <f>IF(V40="SUBSECUENTE","No aplica",VLOOKUP(YEAR(AD40),'SALARIO MINIMO'!A1:B100,2,FALSE))</f>
        <v>123.22</v>
      </c>
      <c r="AF40">
        <f>IF(V40="SUBSECUENTE","No aplica",IF(YEAR(AD40)=2016,VLOOKUP(YEAR(AD40),UMA!A1:B100,2,FALSE),IF(MONTH(AD40)=1,VLOOKUP((YEAR(AD40))-1,UMA!A1:B100,2,FALSE),VLOOKUP(YEAR(AD40),UMA!A1:B100,2,FALSE))))</f>
        <v>86.88</v>
      </c>
      <c r="AG40">
        <f t="shared" si="2"/>
        <v>36966</v>
      </c>
      <c r="AH40">
        <f t="shared" si="3"/>
        <v>26063.999999999996</v>
      </c>
      <c r="AI40" t="str">
        <f t="shared" si="4"/>
        <v>Error Validacion 1</v>
      </c>
      <c r="AJ40" s="2" t="str">
        <f t="shared" si="5"/>
        <v>20201016 09:53:46</v>
      </c>
      <c r="AK40">
        <v>261.3</v>
      </c>
      <c r="AL40">
        <v>144.07</v>
      </c>
      <c r="AM40">
        <f t="shared" si="6"/>
        <v>7839</v>
      </c>
      <c r="AN40">
        <f t="shared" si="7"/>
        <v>12966.3</v>
      </c>
      <c r="AO40" t="str">
        <f t="shared" si="8"/>
        <v>OK_SALA</v>
      </c>
      <c r="AP40">
        <v>3971.3452130000001</v>
      </c>
      <c r="AQ40" t="s">
        <v>322</v>
      </c>
      <c r="AR40">
        <v>11.442653</v>
      </c>
      <c r="AS40">
        <f t="shared" si="9"/>
        <v>45442.725215570092</v>
      </c>
      <c r="AT40" t="str">
        <f t="shared" si="10"/>
        <v>SAL_A</v>
      </c>
      <c r="AU40" t="str">
        <f t="shared" si="11"/>
        <v>SAL_A</v>
      </c>
      <c r="AW40" t="str">
        <f t="shared" si="12"/>
        <v/>
      </c>
      <c r="AY40" t="str">
        <f t="shared" si="13"/>
        <v>Diferencia pagos en curso</v>
      </c>
      <c r="AZ40" t="str">
        <f t="shared" si="14"/>
        <v>No aplica</v>
      </c>
      <c r="BA40" t="str">
        <f t="shared" si="15"/>
        <v>No aplica</v>
      </c>
      <c r="BB40">
        <f t="shared" si="16"/>
        <v>7839</v>
      </c>
      <c r="BC40" t="str">
        <f t="shared" si="17"/>
        <v>Validación correcta</v>
      </c>
      <c r="BD40" t="str">
        <f t="shared" si="18"/>
        <v>Ningún comentario</v>
      </c>
      <c r="BE40" t="s">
        <v>312</v>
      </c>
      <c r="BF40" t="s">
        <v>314</v>
      </c>
    </row>
    <row r="41" spans="1:58" x14ac:dyDescent="0.2">
      <c r="A41" s="1">
        <v>8000250910</v>
      </c>
      <c r="B41" s="1">
        <v>3300200546</v>
      </c>
      <c r="C41" t="s">
        <v>22</v>
      </c>
      <c r="D41" t="s">
        <v>23</v>
      </c>
      <c r="E41" s="2">
        <v>44120.443124999998</v>
      </c>
      <c r="F41">
        <v>12657</v>
      </c>
      <c r="G41" s="3">
        <v>0</v>
      </c>
      <c r="H41" t="s">
        <v>207</v>
      </c>
      <c r="I41" t="s">
        <v>208</v>
      </c>
      <c r="J41" t="s">
        <v>26</v>
      </c>
      <c r="K41" t="s">
        <v>27</v>
      </c>
      <c r="L41" t="s">
        <v>208</v>
      </c>
      <c r="M41" t="s">
        <v>46</v>
      </c>
      <c r="N41" s="2" t="s">
        <v>307</v>
      </c>
      <c r="O41" t="s">
        <v>29</v>
      </c>
      <c r="P41" t="s">
        <v>29</v>
      </c>
      <c r="T41" s="1">
        <v>1</v>
      </c>
      <c r="U41" t="s">
        <v>209</v>
      </c>
      <c r="V41" t="s">
        <v>29</v>
      </c>
      <c r="W41" t="s">
        <v>210</v>
      </c>
      <c r="Y41">
        <v>12657</v>
      </c>
      <c r="Z41" t="str">
        <f t="shared" si="0"/>
        <v>OK</v>
      </c>
      <c r="AA41" t="s">
        <v>313</v>
      </c>
      <c r="AC41" t="str">
        <f t="shared" si="1"/>
        <v>0</v>
      </c>
      <c r="AD41" s="5">
        <v>44120</v>
      </c>
      <c r="AE41">
        <f>IF(V41="SUBSECUENTE","No aplica",VLOOKUP(YEAR(AD41),'SALARIO MINIMO'!A1:B100,2,FALSE))</f>
        <v>123.22</v>
      </c>
      <c r="AF41">
        <f>IF(V41="SUBSECUENTE","No aplica",IF(YEAR(AD41)=2016,VLOOKUP(YEAR(AD41),UMA!A1:B100,2,FALSE),IF(MONTH(AD41)=1,VLOOKUP((YEAR(AD41))-1,UMA!A1:B100,2,FALSE),VLOOKUP(YEAR(AD41),UMA!A1:B100,2,FALSE))))</f>
        <v>86.88</v>
      </c>
      <c r="AG41">
        <f t="shared" si="2"/>
        <v>36966</v>
      </c>
      <c r="AH41">
        <f t="shared" si="3"/>
        <v>26063.999999999996</v>
      </c>
      <c r="AI41" t="str">
        <f t="shared" si="4"/>
        <v>Error Validacion 1</v>
      </c>
      <c r="AJ41" s="2" t="str">
        <f t="shared" si="5"/>
        <v>20201016 10:26:06</v>
      </c>
      <c r="AK41">
        <v>421.9</v>
      </c>
      <c r="AL41">
        <v>292.31</v>
      </c>
      <c r="AM41">
        <f t="shared" si="6"/>
        <v>12657</v>
      </c>
      <c r="AN41">
        <f t="shared" si="7"/>
        <v>26307.9</v>
      </c>
      <c r="AO41" t="str">
        <f t="shared" si="8"/>
        <v>OK_SALA</v>
      </c>
      <c r="AP41">
        <v>3640.9608330000001</v>
      </c>
      <c r="AQ41" t="s">
        <v>315</v>
      </c>
      <c r="AR41">
        <v>13.148607</v>
      </c>
      <c r="AS41">
        <f t="shared" si="9"/>
        <v>47873.563095509635</v>
      </c>
      <c r="AT41" t="str">
        <f t="shared" si="10"/>
        <v>SAL_A</v>
      </c>
      <c r="AU41" t="str">
        <f t="shared" si="11"/>
        <v>SAL_A</v>
      </c>
      <c r="AW41" t="str">
        <f t="shared" si="12"/>
        <v/>
      </c>
      <c r="AY41" t="str">
        <f t="shared" si="13"/>
        <v>Diferencia pagos en curso</v>
      </c>
      <c r="AZ41" t="str">
        <f t="shared" si="14"/>
        <v>No aplica</v>
      </c>
      <c r="BA41" t="str">
        <f t="shared" si="15"/>
        <v>No aplica</v>
      </c>
      <c r="BB41">
        <f t="shared" si="16"/>
        <v>12657</v>
      </c>
      <c r="BC41" t="str">
        <f t="shared" si="17"/>
        <v>Validación correcta</v>
      </c>
      <c r="BD41" t="str">
        <f t="shared" si="18"/>
        <v>Ningún comentario</v>
      </c>
      <c r="BE41" t="s">
        <v>312</v>
      </c>
      <c r="BF41" t="s">
        <v>314</v>
      </c>
    </row>
    <row r="42" spans="1:58" x14ac:dyDescent="0.2">
      <c r="A42" s="1">
        <v>8000251150</v>
      </c>
      <c r="B42" s="1">
        <v>3200432779</v>
      </c>
      <c r="C42" t="s">
        <v>22</v>
      </c>
      <c r="D42" t="s">
        <v>23</v>
      </c>
      <c r="E42" s="2">
        <v>44120.501562500001</v>
      </c>
      <c r="F42">
        <v>7117.8</v>
      </c>
      <c r="G42" s="3">
        <v>0</v>
      </c>
      <c r="H42" t="s">
        <v>211</v>
      </c>
      <c r="I42" t="s">
        <v>212</v>
      </c>
      <c r="J42" t="s">
        <v>26</v>
      </c>
      <c r="K42" t="s">
        <v>27</v>
      </c>
      <c r="L42" t="s">
        <v>212</v>
      </c>
      <c r="M42" t="s">
        <v>139</v>
      </c>
      <c r="N42" s="2" t="s">
        <v>308</v>
      </c>
      <c r="O42" t="s">
        <v>29</v>
      </c>
      <c r="P42" t="s">
        <v>29</v>
      </c>
      <c r="T42" s="1">
        <v>1</v>
      </c>
      <c r="U42" t="s">
        <v>213</v>
      </c>
      <c r="V42" t="s">
        <v>29</v>
      </c>
      <c r="W42" t="s">
        <v>214</v>
      </c>
      <c r="Y42">
        <v>3558.9</v>
      </c>
      <c r="Z42" t="str">
        <f t="shared" si="0"/>
        <v>Error 1</v>
      </c>
      <c r="AA42" t="s">
        <v>313</v>
      </c>
      <c r="AC42" t="str">
        <f t="shared" si="1"/>
        <v>0</v>
      </c>
      <c r="AD42" s="5">
        <v>44120</v>
      </c>
      <c r="AE42">
        <f>IF(V42="SUBSECUENTE","No aplica",VLOOKUP(YEAR(AD42),'SALARIO MINIMO'!A1:B100,2,FALSE))</f>
        <v>123.22</v>
      </c>
      <c r="AF42">
        <f>IF(V42="SUBSECUENTE","No aplica",IF(YEAR(AD42)=2016,VLOOKUP(YEAR(AD42),UMA!A1:B100,2,FALSE),IF(MONTH(AD42)=1,VLOOKUP((YEAR(AD42))-1,UMA!A1:B100,2,FALSE),VLOOKUP(YEAR(AD42),UMA!A1:B100,2,FALSE))))</f>
        <v>86.88</v>
      </c>
      <c r="AG42">
        <f t="shared" si="2"/>
        <v>36966</v>
      </c>
      <c r="AH42">
        <f t="shared" si="3"/>
        <v>26063.999999999996</v>
      </c>
      <c r="AI42" t="str">
        <f t="shared" si="4"/>
        <v>Error Validacion 1</v>
      </c>
      <c r="AJ42" s="2" t="str">
        <f t="shared" si="5"/>
        <v>20201016 11:54:15</v>
      </c>
      <c r="AK42">
        <v>118.63</v>
      </c>
      <c r="AL42">
        <v>102.22</v>
      </c>
      <c r="AM42">
        <f t="shared" si="6"/>
        <v>3558.8999999999996</v>
      </c>
      <c r="AN42">
        <f t="shared" si="7"/>
        <v>9199.7999999999993</v>
      </c>
      <c r="AO42" t="str">
        <f t="shared" si="8"/>
        <v>OK_SALA</v>
      </c>
      <c r="AP42">
        <v>934.68499999999995</v>
      </c>
      <c r="AQ42" t="s">
        <v>318</v>
      </c>
      <c r="AR42">
        <v>10.849608</v>
      </c>
      <c r="AS42">
        <f t="shared" si="9"/>
        <v>10140.96585348</v>
      </c>
      <c r="AT42" t="str">
        <f t="shared" si="10"/>
        <v>SAL_A</v>
      </c>
      <c r="AU42" t="str">
        <f t="shared" si="11"/>
        <v>SAL_A</v>
      </c>
      <c r="AW42" t="str">
        <f t="shared" si="12"/>
        <v/>
      </c>
      <c r="AY42" t="str">
        <f t="shared" si="13"/>
        <v>Diferencia pagos en curso</v>
      </c>
      <c r="AZ42" t="str">
        <f t="shared" si="14"/>
        <v>No aplica</v>
      </c>
      <c r="BA42" t="str">
        <f t="shared" si="15"/>
        <v>No aplica</v>
      </c>
      <c r="BB42">
        <f t="shared" si="16"/>
        <v>3558.8999999999996</v>
      </c>
      <c r="BC42" t="str">
        <f t="shared" si="17"/>
        <v>No cuadran el Instructivo de Cobro y el monto de Cognos</v>
      </c>
      <c r="BD42" t="str">
        <f t="shared" si="18"/>
        <v>Inconsistencia en los datos de origen</v>
      </c>
      <c r="BE42" t="s">
        <v>312</v>
      </c>
      <c r="BF42" t="s">
        <v>314</v>
      </c>
    </row>
    <row r="43" spans="1:58" x14ac:dyDescent="0.2">
      <c r="A43" s="1">
        <v>8000251294</v>
      </c>
      <c r="B43" s="1">
        <v>3300175205</v>
      </c>
      <c r="C43" t="s">
        <v>32</v>
      </c>
      <c r="D43" t="s">
        <v>33</v>
      </c>
      <c r="E43" s="2">
        <v>44120.535740740001</v>
      </c>
      <c r="F43">
        <v>2534.6999999999998</v>
      </c>
      <c r="G43" s="3">
        <v>0</v>
      </c>
      <c r="H43" t="s">
        <v>215</v>
      </c>
      <c r="I43" t="s">
        <v>216</v>
      </c>
      <c r="J43" t="s">
        <v>26</v>
      </c>
      <c r="K43" t="s">
        <v>27</v>
      </c>
      <c r="L43" t="s">
        <v>216</v>
      </c>
      <c r="M43" t="s">
        <v>51</v>
      </c>
      <c r="N43" s="2" t="s">
        <v>309</v>
      </c>
      <c r="O43" t="s">
        <v>29</v>
      </c>
      <c r="P43" t="s">
        <v>29</v>
      </c>
      <c r="T43" s="1">
        <v>1</v>
      </c>
      <c r="U43" t="s">
        <v>217</v>
      </c>
      <c r="V43" t="s">
        <v>29</v>
      </c>
      <c r="W43" t="s">
        <v>218</v>
      </c>
      <c r="Y43">
        <v>2534.6999999999998</v>
      </c>
      <c r="Z43" t="str">
        <f t="shared" si="0"/>
        <v>OK</v>
      </c>
      <c r="AA43" t="s">
        <v>313</v>
      </c>
      <c r="AC43" t="str">
        <f t="shared" si="1"/>
        <v>0</v>
      </c>
      <c r="AD43" s="5">
        <v>43694</v>
      </c>
      <c r="AE43">
        <f>IF(V43="SUBSECUENTE","No aplica",VLOOKUP(YEAR(AD43),'SALARIO MINIMO'!A1:B100,2,FALSE))</f>
        <v>102.68</v>
      </c>
      <c r="AF43">
        <f>IF(V43="SUBSECUENTE","No aplica",IF(YEAR(AD43)=2016,VLOOKUP(YEAR(AD43),UMA!A1:B100,2,FALSE),IF(MONTH(AD43)=1,VLOOKUP((YEAR(AD43))-1,UMA!A1:B100,2,FALSE),VLOOKUP(YEAR(AD43),UMA!A1:B100,2,FALSE))))</f>
        <v>84.49</v>
      </c>
      <c r="AG43">
        <f t="shared" si="2"/>
        <v>3080.4</v>
      </c>
      <c r="AH43">
        <f t="shared" si="3"/>
        <v>2534.6999999999998</v>
      </c>
      <c r="AI43" t="str">
        <f t="shared" si="4"/>
        <v>OK_UMA</v>
      </c>
      <c r="AJ43" s="2" t="str">
        <f t="shared" si="5"/>
        <v>20201016 12:40:40</v>
      </c>
      <c r="AK43">
        <v>2534.6999999999998</v>
      </c>
      <c r="AL43">
        <v>0</v>
      </c>
      <c r="AM43">
        <f t="shared" si="6"/>
        <v>76041</v>
      </c>
      <c r="AN43">
        <f t="shared" si="7"/>
        <v>0</v>
      </c>
      <c r="AO43" t="str">
        <f t="shared" si="8"/>
        <v>Revisar_11.5%</v>
      </c>
      <c r="AP43">
        <v>1781.455103</v>
      </c>
      <c r="AQ43" t="s">
        <v>315</v>
      </c>
      <c r="AR43">
        <v>13.148607</v>
      </c>
      <c r="AS43">
        <f t="shared" si="9"/>
        <v>23423.65303749152</v>
      </c>
      <c r="AT43">
        <f t="shared" si="10"/>
        <v>2693.7200993115248</v>
      </c>
      <c r="AU43" t="str">
        <f t="shared" si="11"/>
        <v>Error Validación 4</v>
      </c>
      <c r="AW43" t="str">
        <f t="shared" si="12"/>
        <v/>
      </c>
      <c r="AY43" t="str">
        <f t="shared" si="13"/>
        <v>Diferencia pagos en curso</v>
      </c>
      <c r="AZ43" t="str">
        <f t="shared" si="14"/>
        <v>No aplica</v>
      </c>
      <c r="BA43" t="str">
        <f t="shared" si="15"/>
        <v>No aplica</v>
      </c>
      <c r="BB43">
        <f t="shared" si="16"/>
        <v>2534.6999999999998</v>
      </c>
      <c r="BC43" t="str">
        <f t="shared" si="17"/>
        <v>Validación correcta</v>
      </c>
      <c r="BD43" t="str">
        <f t="shared" si="18"/>
        <v>Ningún comentario</v>
      </c>
      <c r="BE43" t="s">
        <v>312</v>
      </c>
      <c r="BF43" t="s">
        <v>314</v>
      </c>
    </row>
    <row r="44" spans="1:58" x14ac:dyDescent="0.2">
      <c r="A44" s="1">
        <v>8000250686</v>
      </c>
      <c r="B44" s="1">
        <v>3300160163</v>
      </c>
      <c r="C44" t="s">
        <v>22</v>
      </c>
      <c r="D44" t="s">
        <v>23</v>
      </c>
      <c r="E44" s="2">
        <v>44120.361365739998</v>
      </c>
      <c r="F44">
        <v>20485.8</v>
      </c>
      <c r="G44" s="3">
        <v>0</v>
      </c>
      <c r="H44" t="s">
        <v>219</v>
      </c>
      <c r="I44" t="s">
        <v>220</v>
      </c>
      <c r="J44" t="s">
        <v>26</v>
      </c>
      <c r="K44" t="s">
        <v>27</v>
      </c>
      <c r="L44" t="s">
        <v>220</v>
      </c>
      <c r="M44" t="s">
        <v>122</v>
      </c>
      <c r="N44" s="2" t="s">
        <v>310</v>
      </c>
      <c r="O44" t="s">
        <v>29</v>
      </c>
      <c r="P44" t="s">
        <v>29</v>
      </c>
      <c r="T44" s="1">
        <v>1</v>
      </c>
      <c r="U44" t="s">
        <v>221</v>
      </c>
      <c r="V44" t="s">
        <v>29</v>
      </c>
      <c r="W44" t="s">
        <v>222</v>
      </c>
      <c r="Y44">
        <v>20485.8</v>
      </c>
      <c r="Z44" t="str">
        <f t="shared" si="0"/>
        <v>OK</v>
      </c>
      <c r="AA44" t="s">
        <v>313</v>
      </c>
      <c r="AC44" t="str">
        <f t="shared" si="1"/>
        <v>0</v>
      </c>
      <c r="AD44" s="5">
        <v>44120</v>
      </c>
      <c r="AE44">
        <f>IF(V44="SUBSECUENTE","No aplica",VLOOKUP(YEAR(AD44),'SALARIO MINIMO'!A1:B100,2,FALSE))</f>
        <v>123.22</v>
      </c>
      <c r="AF44">
        <f>IF(V44="SUBSECUENTE","No aplica",IF(YEAR(AD44)=2016,VLOOKUP(YEAR(AD44),UMA!A1:B100,2,FALSE),IF(MONTH(AD44)=1,VLOOKUP((YEAR(AD44))-1,UMA!A1:B100,2,FALSE),VLOOKUP(YEAR(AD44),UMA!A1:B100,2,FALSE))))</f>
        <v>86.88</v>
      </c>
      <c r="AG44">
        <f t="shared" si="2"/>
        <v>36966</v>
      </c>
      <c r="AH44">
        <f t="shared" si="3"/>
        <v>26063.999999999996</v>
      </c>
      <c r="AI44" t="str">
        <f t="shared" si="4"/>
        <v>Error Validacion 1</v>
      </c>
      <c r="AJ44" s="2" t="str">
        <f t="shared" si="5"/>
        <v>20201016 08:36:21</v>
      </c>
      <c r="AK44">
        <v>682.86</v>
      </c>
      <c r="AL44">
        <v>547.42999999999995</v>
      </c>
      <c r="AM44">
        <f t="shared" si="6"/>
        <v>20485.8</v>
      </c>
      <c r="AN44">
        <f t="shared" si="7"/>
        <v>49268.7</v>
      </c>
      <c r="AO44" t="str">
        <f t="shared" si="8"/>
        <v>OK_SALA</v>
      </c>
      <c r="AP44">
        <v>9018.1319070000009</v>
      </c>
      <c r="AQ44" t="s">
        <v>317</v>
      </c>
      <c r="AR44">
        <v>13.238638</v>
      </c>
      <c r="AS44">
        <f t="shared" si="9"/>
        <v>119387.78375302268</v>
      </c>
      <c r="AT44" t="str">
        <f t="shared" si="10"/>
        <v>SAL_A</v>
      </c>
      <c r="AU44" t="str">
        <f t="shared" si="11"/>
        <v>SAL_A</v>
      </c>
      <c r="AW44" t="str">
        <f t="shared" si="12"/>
        <v/>
      </c>
      <c r="AY44" t="str">
        <f t="shared" si="13"/>
        <v>Diferencia pagos en curso</v>
      </c>
      <c r="AZ44" t="str">
        <f t="shared" si="14"/>
        <v>No aplica</v>
      </c>
      <c r="BA44" t="str">
        <f t="shared" si="15"/>
        <v>No aplica</v>
      </c>
      <c r="BB44">
        <f t="shared" si="16"/>
        <v>20485.8</v>
      </c>
      <c r="BC44" t="str">
        <f t="shared" si="17"/>
        <v>Validación correcta</v>
      </c>
      <c r="BD44" t="str">
        <f t="shared" si="18"/>
        <v>Ningún comentario</v>
      </c>
      <c r="BE44" t="s">
        <v>312</v>
      </c>
      <c r="BF44" t="s">
        <v>314</v>
      </c>
    </row>
    <row r="45" spans="1:58" x14ac:dyDescent="0.2">
      <c r="A45" s="1">
        <v>8000250883</v>
      </c>
      <c r="B45" s="1">
        <v>3200669762</v>
      </c>
      <c r="C45" t="s">
        <v>32</v>
      </c>
      <c r="D45" t="s">
        <v>33</v>
      </c>
      <c r="E45" s="2">
        <v>44120.545046289997</v>
      </c>
      <c r="F45">
        <v>2606.4</v>
      </c>
      <c r="G45" s="3">
        <v>0</v>
      </c>
      <c r="H45" t="s">
        <v>223</v>
      </c>
      <c r="I45" t="s">
        <v>224</v>
      </c>
      <c r="J45" t="s">
        <v>26</v>
      </c>
      <c r="K45" t="s">
        <v>27</v>
      </c>
      <c r="L45" t="s">
        <v>224</v>
      </c>
      <c r="M45" t="s">
        <v>160</v>
      </c>
      <c r="N45" s="2" t="s">
        <v>311</v>
      </c>
      <c r="O45" t="s">
        <v>29</v>
      </c>
      <c r="P45" t="s">
        <v>29</v>
      </c>
      <c r="T45" s="1">
        <v>1</v>
      </c>
      <c r="U45" t="s">
        <v>225</v>
      </c>
      <c r="V45" t="s">
        <v>29</v>
      </c>
      <c r="W45" t="s">
        <v>226</v>
      </c>
      <c r="Y45">
        <v>2606.4</v>
      </c>
      <c r="Z45" t="str">
        <f t="shared" si="0"/>
        <v>OK</v>
      </c>
      <c r="AA45" t="s">
        <v>313</v>
      </c>
      <c r="AC45" t="str">
        <f t="shared" si="1"/>
        <v>0</v>
      </c>
      <c r="AD45" s="5">
        <v>44105</v>
      </c>
      <c r="AE45">
        <f>IF(V45="SUBSECUENTE","No aplica",VLOOKUP(YEAR(AD45),'SALARIO MINIMO'!A1:B100,2,FALSE))</f>
        <v>123.22</v>
      </c>
      <c r="AF45">
        <f>IF(V45="SUBSECUENTE","No aplica",IF(YEAR(AD45)=2016,VLOOKUP(YEAR(AD45),UMA!A1:B100,2,FALSE),IF(MONTH(AD45)=1,VLOOKUP((YEAR(AD45))-1,UMA!A1:B100,2,FALSE),VLOOKUP(YEAR(AD45),UMA!A1:B100,2,FALSE))))</f>
        <v>86.88</v>
      </c>
      <c r="AG45">
        <f t="shared" si="2"/>
        <v>3696.6</v>
      </c>
      <c r="AH45">
        <f t="shared" si="3"/>
        <v>2606.3999999999996</v>
      </c>
      <c r="AI45" t="str">
        <f t="shared" si="4"/>
        <v>OK_UMA</v>
      </c>
      <c r="AJ45" s="2" t="str">
        <f t="shared" si="5"/>
        <v>20201016 10:07:06</v>
      </c>
      <c r="AK45">
        <v>2606.4</v>
      </c>
      <c r="AL45">
        <v>0</v>
      </c>
      <c r="AM45">
        <f t="shared" si="6"/>
        <v>78192</v>
      </c>
      <c r="AN45">
        <f t="shared" si="7"/>
        <v>0</v>
      </c>
      <c r="AO45" t="str">
        <f t="shared" si="8"/>
        <v>Revisar_11.5%</v>
      </c>
      <c r="AP45">
        <v>5845.4128149999997</v>
      </c>
      <c r="AQ45" t="s">
        <v>315</v>
      </c>
      <c r="AR45">
        <v>13.148607</v>
      </c>
      <c r="AS45">
        <f t="shared" si="9"/>
        <v>76859.035857198702</v>
      </c>
      <c r="AT45">
        <f t="shared" si="10"/>
        <v>8838.7891235778516</v>
      </c>
      <c r="AU45" t="str">
        <f t="shared" si="11"/>
        <v>Error Validación 4</v>
      </c>
      <c r="AW45" t="str">
        <f t="shared" si="12"/>
        <v/>
      </c>
      <c r="AY45" t="str">
        <f t="shared" si="13"/>
        <v>Diferencia pagos en curso</v>
      </c>
      <c r="AZ45" t="str">
        <f t="shared" si="14"/>
        <v>No aplica</v>
      </c>
      <c r="BA45" t="str">
        <f t="shared" si="15"/>
        <v>No aplica</v>
      </c>
      <c r="BB45">
        <f t="shared" si="16"/>
        <v>2606.3999999999996</v>
      </c>
      <c r="BC45" t="str">
        <f t="shared" si="17"/>
        <v>Validación correcta</v>
      </c>
      <c r="BD45" t="str">
        <f t="shared" si="18"/>
        <v>Ningún comentario</v>
      </c>
      <c r="BE45" t="s">
        <v>312</v>
      </c>
      <c r="BF45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918D-DB7C-4D99-9371-4C65DC05E166}">
  <dimension ref="A1:B25"/>
  <sheetViews>
    <sheetView workbookViewId="0">
      <selection activeCell="E4" sqref="E4"/>
    </sheetView>
  </sheetViews>
  <sheetFormatPr defaultColWidth="9.140625" defaultRowHeight="15" x14ac:dyDescent="0.25"/>
  <cols>
    <col min="1" max="1" width="17.42578125" style="7" customWidth="1"/>
    <col min="2" max="2" width="18.140625" style="7" customWidth="1"/>
    <col min="3" max="16384" width="9.140625" style="7"/>
  </cols>
  <sheetData>
    <row r="1" spans="1:2" x14ac:dyDescent="0.25">
      <c r="A1" s="6" t="s">
        <v>323</v>
      </c>
      <c r="B1" s="6" t="s">
        <v>235</v>
      </c>
    </row>
    <row r="2" spans="1:2" x14ac:dyDescent="0.25">
      <c r="A2" s="6">
        <v>1997</v>
      </c>
      <c r="B2" s="8">
        <v>26.45</v>
      </c>
    </row>
    <row r="3" spans="1:2" x14ac:dyDescent="0.25">
      <c r="A3" s="6">
        <v>1998</v>
      </c>
      <c r="B3" s="8">
        <v>30.2</v>
      </c>
    </row>
    <row r="4" spans="1:2" x14ac:dyDescent="0.25">
      <c r="A4" s="6">
        <v>1999</v>
      </c>
      <c r="B4" s="8">
        <v>34.450000000000003</v>
      </c>
    </row>
    <row r="5" spans="1:2" x14ac:dyDescent="0.25">
      <c r="A5" s="6">
        <v>2000</v>
      </c>
      <c r="B5" s="8">
        <v>37.9</v>
      </c>
    </row>
    <row r="6" spans="1:2" x14ac:dyDescent="0.25">
      <c r="A6" s="6">
        <v>2001</v>
      </c>
      <c r="B6" s="8">
        <v>40.35</v>
      </c>
    </row>
    <row r="7" spans="1:2" x14ac:dyDescent="0.25">
      <c r="A7" s="6">
        <v>2002</v>
      </c>
      <c r="B7" s="8">
        <v>42.15</v>
      </c>
    </row>
    <row r="8" spans="1:2" x14ac:dyDescent="0.25">
      <c r="A8" s="6">
        <v>2003</v>
      </c>
      <c r="B8" s="8">
        <v>43.65</v>
      </c>
    </row>
    <row r="9" spans="1:2" x14ac:dyDescent="0.25">
      <c r="A9" s="6">
        <v>2004</v>
      </c>
      <c r="B9" s="8">
        <v>45.24</v>
      </c>
    </row>
    <row r="10" spans="1:2" x14ac:dyDescent="0.25">
      <c r="A10" s="6">
        <v>2005</v>
      </c>
      <c r="B10" s="8">
        <v>46.8</v>
      </c>
    </row>
    <row r="11" spans="1:2" x14ac:dyDescent="0.25">
      <c r="A11" s="6">
        <v>2006</v>
      </c>
      <c r="B11" s="8">
        <v>48.67</v>
      </c>
    </row>
    <row r="12" spans="1:2" x14ac:dyDescent="0.25">
      <c r="A12" s="6">
        <v>2007</v>
      </c>
      <c r="B12" s="8">
        <v>50.57</v>
      </c>
    </row>
    <row r="13" spans="1:2" x14ac:dyDescent="0.25">
      <c r="A13" s="6">
        <v>2008</v>
      </c>
      <c r="B13" s="8">
        <v>52.59</v>
      </c>
    </row>
    <row r="14" spans="1:2" x14ac:dyDescent="0.25">
      <c r="A14" s="6">
        <v>2009</v>
      </c>
      <c r="B14" s="8">
        <v>54.8</v>
      </c>
    </row>
    <row r="15" spans="1:2" x14ac:dyDescent="0.25">
      <c r="A15" s="6">
        <v>2010</v>
      </c>
      <c r="B15" s="8">
        <v>57.46</v>
      </c>
    </row>
    <row r="16" spans="1:2" x14ac:dyDescent="0.25">
      <c r="A16" s="6">
        <v>2011</v>
      </c>
      <c r="B16" s="8">
        <v>59.82</v>
      </c>
    </row>
    <row r="17" spans="1:2" x14ac:dyDescent="0.25">
      <c r="A17" s="6">
        <v>2012</v>
      </c>
      <c r="B17" s="8">
        <v>62.33</v>
      </c>
    </row>
    <row r="18" spans="1:2" x14ac:dyDescent="0.25">
      <c r="A18" s="6">
        <v>2013</v>
      </c>
      <c r="B18" s="8">
        <v>64.760000000000005</v>
      </c>
    </row>
    <row r="19" spans="1:2" x14ac:dyDescent="0.25">
      <c r="A19" s="6">
        <v>2014</v>
      </c>
      <c r="B19" s="8">
        <v>67.290000000000006</v>
      </c>
    </row>
    <row r="20" spans="1:2" x14ac:dyDescent="0.25">
      <c r="A20" s="6">
        <v>2015</v>
      </c>
      <c r="B20" s="8">
        <v>70.099999999999994</v>
      </c>
    </row>
    <row r="21" spans="1:2" x14ac:dyDescent="0.25">
      <c r="A21" s="6">
        <v>2016</v>
      </c>
      <c r="B21" s="8">
        <v>73.040000000000006</v>
      </c>
    </row>
    <row r="22" spans="1:2" x14ac:dyDescent="0.25">
      <c r="A22" s="6">
        <v>2017</v>
      </c>
      <c r="B22" s="8">
        <v>80.040000000000006</v>
      </c>
    </row>
    <row r="23" spans="1:2" x14ac:dyDescent="0.25">
      <c r="A23" s="6">
        <v>2018</v>
      </c>
      <c r="B23" s="8">
        <v>88.36</v>
      </c>
    </row>
    <row r="24" spans="1:2" x14ac:dyDescent="0.25">
      <c r="A24" s="6">
        <v>2019</v>
      </c>
      <c r="B24" s="8">
        <v>102.68</v>
      </c>
    </row>
    <row r="25" spans="1:2" x14ac:dyDescent="0.25">
      <c r="A25" s="6">
        <v>2020</v>
      </c>
      <c r="B25" s="8">
        <v>123.22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F578-52A1-4A3F-8C52-D15D05B70151}">
  <dimension ref="A1:B6"/>
  <sheetViews>
    <sheetView workbookViewId="0">
      <selection activeCell="D6" sqref="D6"/>
    </sheetView>
  </sheetViews>
  <sheetFormatPr defaultColWidth="9.140625" defaultRowHeight="15" x14ac:dyDescent="0.25"/>
  <cols>
    <col min="1" max="1" width="17.42578125" style="7" customWidth="1"/>
    <col min="2" max="2" width="18.140625" style="7" customWidth="1"/>
    <col min="3" max="3" width="15.5703125" style="7" customWidth="1"/>
    <col min="4" max="16384" width="9.140625" style="7"/>
  </cols>
  <sheetData>
    <row r="1" spans="1:2" x14ac:dyDescent="0.25">
      <c r="A1" s="6" t="s">
        <v>323</v>
      </c>
      <c r="B1" s="6" t="s">
        <v>236</v>
      </c>
    </row>
    <row r="2" spans="1:2" x14ac:dyDescent="0.25">
      <c r="A2" s="6">
        <v>2016</v>
      </c>
      <c r="B2" s="8">
        <v>73.040000000000006</v>
      </c>
    </row>
    <row r="3" spans="1:2" x14ac:dyDescent="0.25">
      <c r="A3" s="6">
        <v>2017</v>
      </c>
      <c r="B3" s="8">
        <v>75.489999999999995</v>
      </c>
    </row>
    <row r="4" spans="1:2" x14ac:dyDescent="0.25">
      <c r="A4" s="6">
        <v>2018</v>
      </c>
      <c r="B4" s="8">
        <v>80.599999999999994</v>
      </c>
    </row>
    <row r="5" spans="1:2" x14ac:dyDescent="0.25">
      <c r="A5" s="6">
        <v>2019</v>
      </c>
      <c r="B5" s="8">
        <v>84.49</v>
      </c>
    </row>
    <row r="6" spans="1:2" x14ac:dyDescent="0.25">
      <c r="A6" s="6">
        <v>2020</v>
      </c>
      <c r="B6" s="8">
        <v>86.88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</vt:lpstr>
      <vt:lpstr>SALARIO MINIMO</vt:lpstr>
      <vt:lpstr>UMA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 Kadia</cp:lastModifiedBy>
  <dcterms:modified xsi:type="dcterms:W3CDTF">2020-10-19T22:10:13Z</dcterms:modified>
</cp:coreProperties>
</file>